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lcwkp\Desktop\"/>
    </mc:Choice>
  </mc:AlternateContent>
  <bookViews>
    <workbookView windowWidth="27945" windowHeight="12375" tabRatio="500" activeTab="1"/>
  </bookViews>
  <sheets>
    <sheet name="看板" sheetId="1" r:id="rId1"/>
    <sheet name="生产明细" sheetId="2" r:id="rId2"/>
    <sheet name="设备状态" sheetId="3" r:id="rId3"/>
    <sheet name="模具状态" sheetId="4" r:id="rId4"/>
    <sheet name="停机记录" sheetId="5" r:id="rId5"/>
    <sheet name="汇总" sheetId="6" r:id="rId6"/>
    <sheet name="基础配置" sheetId="7" r:id="rId7"/>
  </sheets>
  <definedNames>
    <definedName name="_xlnm._FilterDatabase" localSheetId="1" hidden="1">生产明细!$A$1:$M$17</definedName>
    <definedName name="_xlnm._FilterDatabase" localSheetId="2" hidden="1">设备状态!$A$1:$R$16</definedName>
    <definedName name="_xlnm._FilterDatabase" localSheetId="3" hidden="1">模具状态!$A$1:$N$19</definedName>
    <definedName name="_xlnm._FilterDatabase" localSheetId="4" hidden="1">停机记录!$A$1:$I$19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<sst xmlns="http://schemas.openxmlformats.org/spreadsheetml/2006/main" count="507" uniqueCount="226">
  <si>
    <t>泵业冲压车间生产状态综合看板</t>
  </si>
  <si>
    <r>
      <rPr>
        <sz val="10"/>
        <color rgb="FFD6E2F5"/>
        <rFont val="Noto Sans CJK SC"/>
        <charset val="134"/>
      </rPr>
      <t xml:space="preserve">白班 </t>
    </r>
    <r>
      <rPr>
        <sz val="10"/>
        <color rgb="FFD6E2F5"/>
        <rFont val="微软雅黑"/>
        <charset val="1"/>
      </rPr>
      <t>08:00-20:00</t>
    </r>
    <r>
      <rPr>
        <sz val="10"/>
        <color rgb="FFD6E2F5"/>
        <rFont val="Noto Sans CJK SC"/>
        <charset val="134"/>
      </rPr>
      <t>　</t>
    </r>
    <r>
      <rPr>
        <sz val="10"/>
        <color rgb="FFD6E2F5"/>
        <rFont val="微软雅黑"/>
        <charset val="1"/>
      </rPr>
      <t>|</t>
    </r>
    <r>
      <rPr>
        <sz val="10"/>
        <color rgb="FFD6E2F5"/>
        <rFont val="Noto Sans CJK SC"/>
        <charset val="134"/>
      </rPr>
      <t xml:space="preserve">　数据快照 </t>
    </r>
    <r>
      <rPr>
        <sz val="10"/>
        <color rgb="FFD6E2F5"/>
        <rFont val="微软雅黑"/>
        <charset val="1"/>
      </rPr>
      <t>2026-09-30 13:28</t>
    </r>
    <r>
      <rPr>
        <sz val="10"/>
        <color rgb="FFD6E2F5"/>
        <rFont val="Noto Sans CJK SC"/>
        <charset val="134"/>
      </rPr>
      <t>　</t>
    </r>
    <r>
      <rPr>
        <sz val="10"/>
        <color rgb="FFD6E2F5"/>
        <rFont val="微软雅黑"/>
        <charset val="1"/>
      </rPr>
      <t>|</t>
    </r>
    <r>
      <rPr>
        <sz val="10"/>
        <color rgb="FFD6E2F5"/>
        <rFont val="Noto Sans CJK SC"/>
        <charset val="134"/>
      </rPr>
      <t>　设备状态、模具寿命、生产产品与停机分析联动更新</t>
    </r>
  </si>
  <si>
    <t>设备开机率</t>
  </si>
  <si>
    <r>
      <rPr>
        <sz val="10"/>
        <color rgb="FF44546A"/>
        <rFont val="Noto Sans CJK SC"/>
        <charset val="134"/>
      </rPr>
      <t xml:space="preserve">平均 </t>
    </r>
    <r>
      <rPr>
        <sz val="10"/>
        <color rgb="FF44546A"/>
        <rFont val="微软雅黑"/>
        <charset val="1"/>
      </rPr>
      <t>OEE</t>
    </r>
  </si>
  <si>
    <r>
      <rPr>
        <sz val="10"/>
        <color rgb="FF44546A"/>
        <rFont val="Noto Sans CJK SC"/>
        <charset val="134"/>
      </rPr>
      <t>当班总产量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件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</si>
  <si>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在用模具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套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</si>
  <si>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模具寿命预警</t>
    </r>
    <r>
      <rPr>
        <sz val="10"/>
        <color rgb="FF44546A"/>
        <rFont val="微软雅黑"/>
        <charset val="1"/>
      </rPr>
      <t>(</t>
    </r>
    <r>
      <rPr>
        <sz val="10"/>
        <color rgb="FF44546A"/>
        <rFont val="Noto Sans CJK SC"/>
        <charset val="134"/>
      </rPr>
      <t>套</t>
    </r>
    <r>
      <rPr>
        <sz val="10"/>
        <color rgb="FF44546A"/>
        <rFont val="微软雅黑"/>
        <charset val="1"/>
      </rPr>
      <t>)</t>
    </r>
  </si>
  <si>
    <r>
      <rPr>
        <sz val="10"/>
        <color rgb="FF44546A"/>
        <rFont val="Noto Sans CJK SC"/>
        <charset val="134"/>
      </rPr>
      <t>累计停机</t>
    </r>
    <r>
      <rPr>
        <sz val="10"/>
        <color rgb="FF44546A"/>
        <rFont val="微软雅黑"/>
        <charset val="1"/>
      </rPr>
      <t>(min)</t>
    </r>
  </si>
  <si>
    <t>车间生产概览</t>
  </si>
  <si>
    <t>车间</t>
  </si>
  <si>
    <t>设备数</t>
  </si>
  <si>
    <t>运行</t>
  </si>
  <si>
    <t>故障停机</t>
  </si>
  <si>
    <t>开机率</t>
  </si>
  <si>
    <r>
      <rPr>
        <b/>
        <sz val="10"/>
        <color rgb="FFFFFFFF"/>
        <rFont val="Noto Sans CJK SC"/>
        <charset val="134"/>
      </rPr>
      <t>当班产量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</si>
  <si>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达成率</t>
  </si>
  <si>
    <t>合计</t>
  </si>
  <si>
    <t>序号</t>
  </si>
  <si>
    <t>班次</t>
  </si>
  <si>
    <t>设备编号</t>
  </si>
  <si>
    <t>设备名称</t>
  </si>
  <si>
    <t>所属车间</t>
  </si>
  <si>
    <t>生产产品</t>
  </si>
  <si>
    <t>配对模具</t>
  </si>
  <si>
    <r>
      <rPr>
        <b/>
        <sz val="10"/>
        <color rgb="FFFFFFFF"/>
        <rFont val="Noto Sans CJK SC"/>
        <charset val="134"/>
      </rPr>
      <t>计划产量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</si>
  <si>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r>
      <rPr>
        <b/>
        <sz val="10"/>
        <color rgb="FFFFFFFF"/>
        <rFont val="Noto Sans CJK SC"/>
        <charset val="134"/>
      </rPr>
      <t>不良数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</si>
  <si>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良品率</t>
  </si>
  <si>
    <t>备注</t>
  </si>
  <si>
    <t>白班</t>
  </si>
  <si>
    <t>SB-101</t>
  </si>
  <si>
    <t>M-PK400-A</t>
  </si>
  <si>
    <t>SB-102</t>
  </si>
  <si>
    <t>M-YL250-B</t>
  </si>
  <si>
    <t>SB-103</t>
  </si>
  <si>
    <t>M-FL160-C</t>
  </si>
  <si>
    <r>
      <rPr>
        <sz val="10"/>
        <rFont val="Noto Sans CJK SC"/>
        <charset val="134"/>
      </rPr>
      <t xml:space="preserve">白班换模调机 </t>
    </r>
    <r>
      <rPr>
        <sz val="10"/>
        <rFont val="微软雅黑"/>
        <charset val="1"/>
      </rPr>
      <t>300min</t>
    </r>
  </si>
  <si>
    <t>SB-104</t>
  </si>
  <si>
    <t>M-PK200-D</t>
  </si>
  <si>
    <t>液压系统维修中，待备件</t>
  </si>
  <si>
    <t>SB-105</t>
  </si>
  <si>
    <t>M-YL315-E</t>
  </si>
  <si>
    <t>SB-201</t>
  </si>
  <si>
    <t>M-FL125-G</t>
  </si>
  <si>
    <t>SB-202</t>
  </si>
  <si>
    <t>M-MF110-H</t>
  </si>
  <si>
    <t>SB-203</t>
  </si>
  <si>
    <t>M-DG080-I</t>
  </si>
  <si>
    <t>季度计划保养，夜班恢复</t>
  </si>
  <si>
    <t>SB-204</t>
  </si>
  <si>
    <t>M-FL160-J</t>
  </si>
  <si>
    <t>SB-205</t>
  </si>
  <si>
    <t>M-MF250-K</t>
  </si>
  <si>
    <r>
      <rPr>
        <sz val="10"/>
        <rFont val="Noto Sans CJK SC"/>
        <charset val="134"/>
      </rPr>
      <t>待料</t>
    </r>
    <r>
      <rPr>
        <sz val="10"/>
        <rFont val="微软雅黑"/>
        <charset val="1"/>
      </rPr>
      <t>+</t>
    </r>
    <r>
      <rPr>
        <sz val="10"/>
        <rFont val="Noto Sans CJK SC"/>
        <charset val="134"/>
      </rPr>
      <t>换模，产出偏低</t>
    </r>
  </si>
  <si>
    <t>SB-301</t>
  </si>
  <si>
    <t>M-PT355-M</t>
  </si>
  <si>
    <t>SB-302</t>
  </si>
  <si>
    <t>M-PT220-N</t>
  </si>
  <si>
    <t>SB-303</t>
  </si>
  <si>
    <t>M-FL140-O</t>
  </si>
  <si>
    <t>SB-304</t>
  </si>
  <si>
    <t>M-ZJ063-P</t>
  </si>
  <si>
    <t>SB-305</t>
  </si>
  <si>
    <t>M-PT200-Q</t>
  </si>
  <si>
    <t>电机维修中，预计夜班恢复</t>
  </si>
  <si>
    <t>YL-B-035</t>
  </si>
  <si>
    <t>M-GD50-200</t>
  </si>
  <si>
    <t>设备类型</t>
  </si>
  <si>
    <r>
      <rPr>
        <b/>
        <sz val="10"/>
        <color rgb="FFFFFFFF"/>
        <rFont val="Noto Sans CJK SC"/>
        <charset val="134"/>
      </rPr>
      <t>吨位</t>
    </r>
    <r>
      <rPr>
        <b/>
        <sz val="10"/>
        <color rgb="FFFFFFFF"/>
        <rFont val="微软雅黑"/>
        <charset val="1"/>
      </rPr>
      <t>(t)</t>
    </r>
  </si>
  <si>
    <t>设备状态</t>
  </si>
  <si>
    <r>
      <rPr>
        <b/>
        <sz val="10"/>
        <color rgb="FFFFFFFF"/>
        <rFont val="Noto Sans CJK SC"/>
        <charset val="134"/>
      </rPr>
      <t>当班运行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</si>
  <si>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当班停机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</si>
  <si>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节拍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/min)</t>
    </r>
  </si>
  <si>
    <t>时间稼动率</t>
  </si>
  <si>
    <t>性能稼动率</t>
  </si>
  <si>
    <t>OEE</t>
  </si>
  <si>
    <t>责任人</t>
  </si>
  <si>
    <r>
      <rPr>
        <sz val="10"/>
        <rFont val="微软雅黑"/>
        <charset val="1"/>
      </rPr>
      <t xml:space="preserve">400T </t>
    </r>
    <r>
      <rPr>
        <sz val="10"/>
        <rFont val="Noto Sans CJK SC"/>
        <charset val="134"/>
      </rPr>
      <t>闭式双点压力机</t>
    </r>
  </si>
  <si>
    <t>一号冲压车间</t>
  </si>
  <si>
    <t>机械压力机</t>
  </si>
  <si>
    <t>张建国</t>
  </si>
  <si>
    <r>
      <rPr>
        <sz val="10"/>
        <rFont val="微软雅黑"/>
        <charset val="1"/>
      </rPr>
      <t xml:space="preserve">250T </t>
    </r>
    <r>
      <rPr>
        <sz val="10"/>
        <rFont val="Noto Sans CJK SC"/>
        <charset val="134"/>
      </rPr>
      <t>开式压力机</t>
    </r>
  </si>
  <si>
    <t>李海峰</t>
  </si>
  <si>
    <r>
      <rPr>
        <sz val="10"/>
        <rFont val="微软雅黑"/>
        <charset val="1"/>
      </rPr>
      <t xml:space="preserve">160T </t>
    </r>
    <r>
      <rPr>
        <sz val="10"/>
        <rFont val="Noto Sans CJK SC"/>
        <charset val="134"/>
      </rPr>
      <t>开式压力机</t>
    </r>
  </si>
  <si>
    <t>调模</t>
  </si>
  <si>
    <t>王振宇</t>
  </si>
  <si>
    <r>
      <rPr>
        <sz val="10"/>
        <rFont val="微软雅黑"/>
        <charset val="1"/>
      </rPr>
      <t xml:space="preserve">200T </t>
    </r>
    <r>
      <rPr>
        <sz val="10"/>
        <rFont val="Noto Sans CJK SC"/>
        <charset val="134"/>
      </rPr>
      <t>液压冲床</t>
    </r>
  </si>
  <si>
    <t>液压机</t>
  </si>
  <si>
    <t>赵明辉</t>
  </si>
  <si>
    <r>
      <rPr>
        <sz val="10"/>
        <rFont val="微软雅黑"/>
        <charset val="1"/>
      </rPr>
      <t xml:space="preserve">315T </t>
    </r>
    <r>
      <rPr>
        <sz val="10"/>
        <rFont val="Noto Sans CJK SC"/>
        <charset val="134"/>
      </rPr>
      <t>精冲压力机</t>
    </r>
  </si>
  <si>
    <t>精冲机</t>
  </si>
  <si>
    <t>陈立新</t>
  </si>
  <si>
    <r>
      <rPr>
        <sz val="10"/>
        <rFont val="微软雅黑"/>
        <charset val="1"/>
      </rPr>
      <t xml:space="preserve">125T </t>
    </r>
    <r>
      <rPr>
        <sz val="10"/>
        <rFont val="Noto Sans CJK SC"/>
        <charset val="134"/>
      </rPr>
      <t>高速冲床</t>
    </r>
  </si>
  <si>
    <t>二号冲压车间</t>
  </si>
  <si>
    <t>高速冲床</t>
  </si>
  <si>
    <t>刘志强</t>
  </si>
  <si>
    <r>
      <t xml:space="preserve">110T </t>
    </r>
    <r>
      <rPr>
        <sz val="10"/>
        <rFont val="微软雅黑"/>
        <charset val="134"/>
      </rPr>
      <t>高速冲床</t>
    </r>
  </si>
  <si>
    <t>孙浩然</t>
  </si>
  <si>
    <r>
      <t xml:space="preserve">80T </t>
    </r>
    <r>
      <rPr>
        <sz val="10"/>
        <rFont val="微软雅黑"/>
        <charset val="134"/>
      </rPr>
      <t>开式压力机</t>
    </r>
  </si>
  <si>
    <t>计划保养</t>
  </si>
  <si>
    <t>周建军</t>
  </si>
  <si>
    <r>
      <t xml:space="preserve">160T </t>
    </r>
    <r>
      <rPr>
        <sz val="10"/>
        <rFont val="微软雅黑"/>
        <charset val="134"/>
      </rPr>
      <t>开式压力机</t>
    </r>
  </si>
  <si>
    <t>吴俊杰</t>
  </si>
  <si>
    <r>
      <t xml:space="preserve">250T </t>
    </r>
    <r>
      <rPr>
        <sz val="10"/>
        <rFont val="微软雅黑"/>
        <charset val="134"/>
      </rPr>
      <t>液压冲床</t>
    </r>
  </si>
  <si>
    <t>待机</t>
  </si>
  <si>
    <t>郑伟东</t>
  </si>
  <si>
    <r>
      <t xml:space="preserve">355T </t>
    </r>
    <r>
      <rPr>
        <sz val="10"/>
        <rFont val="微软雅黑"/>
        <charset val="134"/>
      </rPr>
      <t>闭式压力机</t>
    </r>
  </si>
  <si>
    <t>三号焊接车间</t>
  </si>
  <si>
    <t>冯国栋</t>
  </si>
  <si>
    <r>
      <t xml:space="preserve">220T </t>
    </r>
    <r>
      <rPr>
        <sz val="10"/>
        <rFont val="微软雅黑"/>
        <charset val="134"/>
      </rPr>
      <t>闭式压力机</t>
    </r>
  </si>
  <si>
    <t>许文博</t>
  </si>
  <si>
    <r>
      <t xml:space="preserve">140T </t>
    </r>
    <r>
      <rPr>
        <sz val="10"/>
        <rFont val="微软雅黑"/>
        <charset val="134"/>
      </rPr>
      <t>开式压力机</t>
    </r>
  </si>
  <si>
    <t>何少军</t>
  </si>
  <si>
    <r>
      <t xml:space="preserve">63T </t>
    </r>
    <r>
      <rPr>
        <sz val="10"/>
        <rFont val="微软雅黑"/>
        <charset val="134"/>
      </rPr>
      <t>开式压力机</t>
    </r>
  </si>
  <si>
    <t>曾建平</t>
  </si>
  <si>
    <r>
      <t xml:space="preserve">200T </t>
    </r>
    <r>
      <rPr>
        <sz val="10"/>
        <rFont val="微软雅黑"/>
        <charset val="134"/>
      </rPr>
      <t>折弯冲床</t>
    </r>
  </si>
  <si>
    <t>邓伟民</t>
  </si>
  <si>
    <t>J23-100T压力机</t>
  </si>
  <si>
    <t>甲乙丙</t>
  </si>
  <si>
    <t>模具编号</t>
  </si>
  <si>
    <t>模具名称</t>
  </si>
  <si>
    <t>配对设备</t>
  </si>
  <si>
    <t>模具状态</t>
  </si>
  <si>
    <t>已冲次数</t>
  </si>
  <si>
    <t>寿命上限</t>
  </si>
  <si>
    <t>寿命占用</t>
  </si>
  <si>
    <r>
      <rPr>
        <b/>
        <sz val="10"/>
        <color rgb="FFFFFFFF"/>
        <rFont val="Noto Sans CJK SC"/>
        <charset val="134"/>
      </rPr>
      <t>剩余可用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次</t>
    </r>
    <r>
      <rPr>
        <b/>
        <sz val="10"/>
        <color rgb="FFFFFFFF"/>
        <rFont val="微软雅黑"/>
        <charset val="1"/>
      </rPr>
      <t>)</t>
    </r>
  </si>
  <si>
    <t>上次研磨日期</t>
  </si>
  <si>
    <t>安装日期</t>
  </si>
  <si>
    <t>状态判定</t>
  </si>
  <si>
    <t>MJ-101</t>
  </si>
  <si>
    <t>泵壳成型模</t>
  </si>
  <si>
    <r>
      <rPr>
        <sz val="10"/>
        <rFont val="微软雅黑"/>
        <charset val="1"/>
      </rPr>
      <t xml:space="preserve">PK-400 </t>
    </r>
    <r>
      <rPr>
        <sz val="10"/>
        <rFont val="Noto Sans CJK SC"/>
        <charset val="134"/>
      </rPr>
      <t>泵壳</t>
    </r>
  </si>
  <si>
    <t>在用</t>
  </si>
  <si>
    <t>MJ-102</t>
  </si>
  <si>
    <t>叶轮落料模</t>
  </si>
  <si>
    <r>
      <rPr>
        <sz val="10"/>
        <rFont val="微软雅黑"/>
        <charset val="1"/>
      </rPr>
      <t xml:space="preserve">YL-250 </t>
    </r>
    <r>
      <rPr>
        <sz val="10"/>
        <rFont val="Noto Sans CJK SC"/>
        <charset val="134"/>
      </rPr>
      <t>叶轮</t>
    </r>
  </si>
  <si>
    <t>MJ-103</t>
  </si>
  <si>
    <t>法兰成型模</t>
  </si>
  <si>
    <r>
      <rPr>
        <sz val="10"/>
        <rFont val="微软雅黑"/>
        <charset val="1"/>
      </rPr>
      <t xml:space="preserve">FL-150 </t>
    </r>
    <r>
      <rPr>
        <sz val="10"/>
        <rFont val="Noto Sans CJK SC"/>
        <charset val="134"/>
      </rPr>
      <t>法兰</t>
    </r>
  </si>
  <si>
    <t>MJ-104</t>
  </si>
  <si>
    <t>泵壳拉伸模</t>
  </si>
  <si>
    <t>MJ-105</t>
  </si>
  <si>
    <t>叶轮冲孔模</t>
  </si>
  <si>
    <t>MJ-106</t>
  </si>
  <si>
    <t>泵壳切边模</t>
  </si>
  <si>
    <t>待用</t>
  </si>
  <si>
    <t>MJ-201</t>
  </si>
  <si>
    <t>法兰冲孔模</t>
  </si>
  <si>
    <t>MJ-202</t>
  </si>
  <si>
    <t>密封盖成型模</t>
  </si>
  <si>
    <r>
      <rPr>
        <sz val="10"/>
        <rFont val="微软雅黑"/>
        <charset val="1"/>
      </rPr>
      <t xml:space="preserve">MF-100 </t>
    </r>
    <r>
      <rPr>
        <sz val="10"/>
        <rFont val="Noto Sans CJK SC"/>
        <charset val="134"/>
      </rPr>
      <t>密封盖</t>
    </r>
  </si>
  <si>
    <t>MJ-203</t>
  </si>
  <si>
    <t>端盖落料模</t>
  </si>
  <si>
    <r>
      <rPr>
        <sz val="10"/>
        <rFont val="微软雅黑"/>
        <charset val="1"/>
      </rPr>
      <t xml:space="preserve">DG-200 </t>
    </r>
    <r>
      <rPr>
        <sz val="10"/>
        <rFont val="Noto Sans CJK SC"/>
        <charset val="134"/>
      </rPr>
      <t>端盖</t>
    </r>
  </si>
  <si>
    <t>MJ-204</t>
  </si>
  <si>
    <t>法兰折弯模</t>
  </si>
  <si>
    <t>MJ-205</t>
  </si>
  <si>
    <t>密封盖拉深模</t>
  </si>
  <si>
    <t>研磨中</t>
  </si>
  <si>
    <t>MJ-206</t>
  </si>
  <si>
    <t>端盖成型模</t>
  </si>
  <si>
    <t>维修复用</t>
  </si>
  <si>
    <t>MJ-301</t>
  </si>
  <si>
    <t>泵体成型模</t>
  </si>
  <si>
    <r>
      <rPr>
        <sz val="10"/>
        <rFont val="微软雅黑"/>
        <charset val="1"/>
      </rPr>
      <t xml:space="preserve">PT-350 </t>
    </r>
    <r>
      <rPr>
        <sz val="10"/>
        <rFont val="Noto Sans CJK SC"/>
        <charset val="134"/>
      </rPr>
      <t>泵体</t>
    </r>
  </si>
  <si>
    <t>MJ-302</t>
  </si>
  <si>
    <t>泵体冲孔模</t>
  </si>
  <si>
    <t>MJ-303</t>
  </si>
  <si>
    <t>法兰切边模</t>
  </si>
  <si>
    <t>MJ-304</t>
  </si>
  <si>
    <t>泵支架成型模</t>
  </si>
  <si>
    <r>
      <rPr>
        <sz val="10"/>
        <rFont val="微软雅黑"/>
        <charset val="1"/>
      </rPr>
      <t xml:space="preserve">ZJ-063 </t>
    </r>
    <r>
      <rPr>
        <sz val="10"/>
        <rFont val="Noto Sans CJK SC"/>
        <charset val="134"/>
      </rPr>
      <t>泵支架</t>
    </r>
  </si>
  <si>
    <t>MJ-305</t>
  </si>
  <si>
    <t>泵体折边模</t>
  </si>
  <si>
    <t>MJ-306</t>
  </si>
  <si>
    <t>泵支架冲孔模</t>
  </si>
  <si>
    <t>已报废</t>
  </si>
  <si>
    <t>MJ-B-035</t>
  </si>
  <si>
    <r>
      <t>GD50-200/400</t>
    </r>
    <r>
      <rPr>
        <sz val="11"/>
        <color theme="1"/>
        <rFont val="宋体"/>
        <charset val="1"/>
      </rPr>
      <t>泵壳</t>
    </r>
  </si>
  <si>
    <t>发生时间</t>
  </si>
  <si>
    <t>原因分类</t>
  </si>
  <si>
    <t>停机原因</t>
  </si>
  <si>
    <r>
      <rPr>
        <b/>
        <sz val="10"/>
        <color rgb="FFFFFFFF"/>
        <rFont val="Noto Sans CJK SC"/>
        <charset val="134"/>
      </rPr>
      <t>停机时长</t>
    </r>
    <r>
      <rPr>
        <b/>
        <sz val="10"/>
        <color rgb="FFFFFFFF"/>
        <rFont val="微软雅黑"/>
        <charset val="1"/>
      </rPr>
      <t>(min)</t>
    </r>
  </si>
  <si>
    <r>
      <rPr>
        <b/>
        <sz val="10"/>
        <color rgb="FFFFFFFF"/>
        <rFont val="Noto Sans CJK SC"/>
        <charset val="134"/>
      </rPr>
      <t>影响产量</t>
    </r>
    <r>
      <rPr>
        <b/>
        <sz val="10"/>
        <color rgb="FFFFFFFF"/>
        <rFont val="微软雅黑"/>
        <charset val="1"/>
      </rPr>
      <t>(</t>
    </r>
    <r>
      <rPr>
        <b/>
        <sz val="10"/>
        <color rgb="FFFFFFFF"/>
        <rFont val="Noto Sans CJK SC"/>
        <charset val="134"/>
      </rPr>
      <t>件</t>
    </r>
    <r>
      <rPr>
        <b/>
        <sz val="10"/>
        <color rgb="FFFFFFFF"/>
        <rFont val="微软雅黑"/>
        <charset val="1"/>
      </rPr>
      <t>)</t>
    </r>
  </si>
  <si>
    <t>处理人</t>
  </si>
  <si>
    <t>处理状态</t>
  </si>
  <si>
    <t>设备故障</t>
  </si>
  <si>
    <t>液压系统泄漏</t>
  </si>
  <si>
    <t>维修中</t>
  </si>
  <si>
    <t>电机过热跳闸</t>
  </si>
  <si>
    <t>季度计划保养</t>
  </si>
  <si>
    <t>已闭环</t>
  </si>
  <si>
    <t>待料</t>
  </si>
  <si>
    <t>板料供应延迟</t>
  </si>
  <si>
    <t>换模调机</t>
  </si>
  <si>
    <t>模具安装调试</t>
  </si>
  <si>
    <t>订单排产等待</t>
  </si>
  <si>
    <t>其他</t>
  </si>
  <si>
    <t>安全光栅校验</t>
  </si>
  <si>
    <t>送料机构卡料</t>
  </si>
  <si>
    <t>模具保养后试模</t>
  </si>
  <si>
    <t>废料排放异常</t>
  </si>
  <si>
    <t>气动夹紧压力低</t>
  </si>
  <si>
    <t>润滑系统报警</t>
  </si>
  <si>
    <t>滑块润滑报警</t>
  </si>
  <si>
    <t>气路失压</t>
  </si>
  <si>
    <t>订单暂停待料</t>
  </si>
  <si>
    <t>泵业冲压车间生产汇总（公式自动统计）</t>
  </si>
  <si>
    <r>
      <rPr>
        <b/>
        <sz val="10"/>
        <color rgb="FFFFFFFF"/>
        <rFont val="Noto Sans CJK SC"/>
        <charset val="134"/>
      </rPr>
      <t>平均</t>
    </r>
    <r>
      <rPr>
        <b/>
        <sz val="10"/>
        <color rgb="FFFFFFFF"/>
        <rFont val="微软雅黑"/>
        <charset val="1"/>
      </rPr>
      <t>OEE</t>
    </r>
  </si>
  <si>
    <t>模具状态分布</t>
  </si>
  <si>
    <t>数量</t>
  </si>
  <si>
    <t>占比</t>
  </si>
  <si>
    <t>平均寿命占用</t>
  </si>
  <si>
    <t>寿命预警数</t>
  </si>
  <si>
    <t>停机原因分类汇总（当班）</t>
  </si>
  <si>
    <t>次数</t>
  </si>
  <si>
    <r>
      <rPr>
        <b/>
        <sz val="10"/>
        <color rgb="FFFFFFFF"/>
        <rFont val="Noto Sans CJK SC"/>
        <charset val="134"/>
      </rPr>
      <t>总时长</t>
    </r>
    <r>
      <rPr>
        <b/>
        <sz val="10"/>
        <color rgb="FFFFFFFF"/>
        <rFont val="微软雅黑"/>
        <charset val="1"/>
      </rPr>
      <t>(min)</t>
    </r>
  </si>
  <si>
    <t>时长占比</t>
  </si>
  <si>
    <t>基础配置（修改后全表自动联动）</t>
  </si>
  <si>
    <r>
      <rPr>
        <sz val="10"/>
        <rFont val="Noto Sans CJK SC"/>
        <charset val="134"/>
      </rPr>
      <t>班次计划生产时间</t>
    </r>
    <r>
      <rPr>
        <sz val="10"/>
        <rFont val="微软雅黑"/>
        <charset val="1"/>
      </rPr>
      <t>(min/</t>
    </r>
    <r>
      <rPr>
        <sz val="10"/>
        <rFont val="Noto Sans CJK SC"/>
        <charset val="134"/>
      </rPr>
      <t>班</t>
    </r>
    <r>
      <rPr>
        <sz val="10"/>
        <rFont val="微软雅黑"/>
        <charset val="1"/>
      </rPr>
      <t>)</t>
    </r>
  </si>
  <si>
    <r>
      <rPr>
        <sz val="9"/>
        <color rgb="FF44546A"/>
        <rFont val="Noto Sans CJK SC"/>
        <charset val="134"/>
      </rPr>
      <t xml:space="preserve">← 白班 </t>
    </r>
    <r>
      <rPr>
        <sz val="9"/>
        <color rgb="FF44546A"/>
        <rFont val="微软雅黑"/>
        <charset val="1"/>
      </rPr>
      <t>08:00-20:00</t>
    </r>
  </si>
  <si>
    <t>模具寿命预警阈值</t>
  </si>
  <si>
    <t>← 低于该占用率触发预警</t>
  </si>
  <si>
    <t>停机原因分类</t>
  </si>
  <si>
    <t>产品清单</t>
  </si>
  <si>
    <t>夜班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</si>
</sst>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\ hh:mm"/>
    <numFmt numFmtId="178" formatCode="yyyy\-mm\-dd"/>
  </numFmts>
  <fonts count="42">
    <font>
      <sz val="11"/>
      <color theme="1"/>
      <name val="Calibri"/>
      <charset val="1"/>
    </font>
    <font>
      <b/>
      <sz val="14"/>
      <color rgb="FFFFFFFF"/>
      <name val="Noto Sans CJK SC"/>
      <charset val="134"/>
    </font>
    <font>
      <sz val="10"/>
      <name val="Noto Sans CJK SC"/>
      <charset val="134"/>
    </font>
    <font>
      <sz val="10"/>
      <name val="微软雅黑"/>
      <charset val="1"/>
    </font>
    <font>
      <sz val="9"/>
      <color rgb="FF44546A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2F5597"/>
      <name val="Noto Sans CJK SC"/>
      <charset val="134"/>
    </font>
    <font>
      <b/>
      <sz val="10"/>
      <color rgb="FF2F5597"/>
      <name val="微软雅黑"/>
      <charset val="1"/>
    </font>
    <font>
      <b/>
      <sz val="11"/>
      <color rgb="FF2F5597"/>
      <name val="Noto Sans CJK SC"/>
      <charset val="134"/>
    </font>
    <font>
      <sz val="10"/>
      <color theme="1"/>
      <name val="微软雅黑"/>
      <charset val="1"/>
    </font>
    <font>
      <sz val="11"/>
      <color theme="1"/>
      <name val="宋体"/>
      <charset val="1"/>
    </font>
    <font>
      <b/>
      <sz val="10"/>
      <color rgb="FFFFFFFF"/>
      <name val="微软雅黑"/>
      <charset val="1"/>
    </font>
    <font>
      <sz val="10"/>
      <color theme="1"/>
      <name val="宋体"/>
      <charset val="1"/>
    </font>
    <font>
      <sz val="10"/>
      <color theme="1"/>
      <name val="Calibri"/>
      <charset val="1"/>
    </font>
    <font>
      <sz val="10"/>
      <color rgb="FFD6E2F5"/>
      <name val="Noto Sans CJK SC"/>
      <charset val="134"/>
    </font>
    <font>
      <sz val="10"/>
      <color rgb="FF44546A"/>
      <name val="Noto Sans CJK SC"/>
      <charset val="134"/>
    </font>
    <font>
      <b/>
      <sz val="20"/>
      <color rgb="FF2F5597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44546A"/>
      <name val="微软雅黑"/>
      <charset val="1"/>
    </font>
    <font>
      <sz val="10"/>
      <color rgb="FF44546A"/>
      <name val="微软雅黑"/>
      <charset val="1"/>
    </font>
    <font>
      <sz val="10"/>
      <color rgb="FFD6E2F5"/>
      <name val="微软雅黑"/>
      <charset val="1"/>
    </font>
    <font>
      <sz val="1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F5597"/>
        <bgColor rgb="FF1F4E79"/>
      </patternFill>
    </fill>
    <fill>
      <patternFill patternType="solid">
        <fgColor rgb="FFFFF2CC"/>
        <bgColor rgb="FFF9F9F9"/>
      </patternFill>
    </fill>
    <fill>
      <patternFill patternType="solid">
        <fgColor rgb="FF4472C4"/>
        <bgColor rgb="FF4F81BD"/>
      </patternFill>
    </fill>
    <fill>
      <patternFill patternType="solid">
        <fgColor rgb="FFEAF0FA"/>
        <bgColor rgb="FFDDEBF7"/>
      </patternFill>
    </fill>
    <fill>
      <patternFill patternType="solid">
        <fgColor rgb="FFD9E2F3"/>
        <bgColor rgb="FFD6E2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5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9" fillId="9" borderId="5" applyNumberFormat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/>
    <xf numFmtId="9" fontId="3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right" vertical="center"/>
    </xf>
    <xf numFmtId="176" fontId="7" fillId="5" borderId="1" xfId="0" applyNumberFormat="1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0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176" fontId="16" fillId="0" borderId="0" xfId="0" applyNumberFormat="1" applyFont="1" applyBorder="1" applyAlignment="1">
      <alignment horizontal="center" vertical="center" wrapText="1"/>
    </xf>
    <xf numFmtId="3" fontId="16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1F4E79"/>
      </font>
      <fill>
        <patternFill patternType="solid">
          <bgColor rgb="FFDDEBF7"/>
        </patternFill>
      </fill>
    </dxf>
    <dxf>
      <font>
        <b val="1"/>
        <color rgb="FF5B2D8E"/>
      </font>
      <fill>
        <patternFill patternType="solid">
          <bgColor rgb="FFE4DFEC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006100"/>
      </font>
    </dxf>
    <dxf>
      <font>
        <b val="1"/>
        <color rgb="FF9C0006"/>
      </font>
    </dxf>
    <dxf>
      <font>
        <b val="1"/>
        <color rgb="FF9C65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878787"/>
      <rgbColor rgb="009999FF"/>
      <rgbColor rgb="007030A0"/>
      <rgbColor rgb="00FFF2CC"/>
      <rgbColor rgb="00DDEBF7"/>
      <rgbColor rgb="00660066"/>
      <rgbColor rgb="00FF8080"/>
      <rgbColor rgb="002F5597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F0FA"/>
      <rgbColor rgb="00C6EFCE"/>
      <rgbColor rgb="00FFEB9C"/>
      <rgbColor rgb="00D6E2F5"/>
      <rgbColor rgb="00D9E2F3"/>
      <rgbColor rgb="00E4DFEC"/>
      <rgbColor rgb="00FFC7CE"/>
      <rgbColor rgb="004472C4"/>
      <rgbColor rgb="0033CCCC"/>
      <rgbColor rgb="0099CC00"/>
      <rgbColor rgb="00FFCC00"/>
      <rgbColor rgb="00FF9900"/>
      <rgbColor rgb="00ED7D31"/>
      <rgbColor rgb="004F81BD"/>
      <rgbColor rgb="00A6A6A6"/>
      <rgbColor rgb="001F4E79"/>
      <rgbColor rgb="0070AD47"/>
      <rgbColor rgb="00003300"/>
      <rgbColor rgb="00333300"/>
      <rgbColor rgb="00993300"/>
      <rgbColor rgb="00993366"/>
      <rgbColor rgb="005B2D8E"/>
      <rgbColor rgb="00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各车间当班产量 vs 计划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汇总!$I$2</c:f>
              <c:strCache>
                <c:ptCount val="1"/>
                <c:pt idx="0">
                  <c:v>当班产量(件)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汇总!$A$3:$A$5</c:f>
              <c:strCache>
                <c:ptCount val="3"/>
                <c:pt idx="0">
                  <c:v>一号冲压车间</c:v>
                </c:pt>
                <c:pt idx="1">
                  <c:v>二号冲压车间</c:v>
                </c:pt>
                <c:pt idx="2">
                  <c:v>三号焊接车间</c:v>
                </c:pt>
              </c:strCache>
            </c:strRef>
          </c:cat>
          <c:val>
            <c:numRef>
              <c:f>汇总!$I$3:$I$5</c:f>
              <c:numCache>
                <c:formatCode>#,##0</c:formatCode>
                <c:ptCount val="3"/>
                <c:pt idx="0">
                  <c:v>11120</c:v>
                </c:pt>
                <c:pt idx="1">
                  <c:v>14810</c:v>
                </c:pt>
                <c:pt idx="2">
                  <c:v>8040</c:v>
                </c:pt>
              </c:numCache>
            </c:numRef>
          </c:val>
        </c:ser>
        <c:ser>
          <c:idx val="1"/>
          <c:order val="1"/>
          <c:tx>
            <c:strRef>
              <c:f>汇总!$J$2</c:f>
              <c:strCache>
                <c:ptCount val="1"/>
                <c:pt idx="0">
                  <c:v>计划产量(件)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汇总!$A$3:$A$5</c:f>
              <c:strCache>
                <c:ptCount val="3"/>
                <c:pt idx="0">
                  <c:v>一号冲压车间</c:v>
                </c:pt>
                <c:pt idx="1">
                  <c:v>二号冲压车间</c:v>
                </c:pt>
                <c:pt idx="2">
                  <c:v>三号焊接车间</c:v>
                </c:pt>
              </c:strCache>
            </c:strRef>
          </c:cat>
          <c:val>
            <c:numRef>
              <c:f>汇总!$J$3:$J$5</c:f>
              <c:numCache>
                <c:formatCode>#,##0</c:formatCode>
                <c:ptCount val="3"/>
                <c:pt idx="0">
                  <c:v>13600</c:v>
                </c:pt>
                <c:pt idx="1">
                  <c:v>18600</c:v>
                </c:pt>
                <c:pt idx="2">
                  <c:v>10800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80"/>
        <c:overlap val="0"/>
        <c:axId val="36132439"/>
        <c:axId val="63768112"/>
      </c:barChart>
      <c:catAx>
        <c:axId val="36132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3768112"/>
        <c:crosses val="autoZero"/>
        <c:auto val="1"/>
        <c:lblAlgn val="ctr"/>
        <c:lblOffset val="100"/>
        <c:noMultiLvlLbl val="0"/>
      </c:catAx>
      <c:valAx>
        <c:axId val="6376811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产量(件)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132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d1910f-0c0b-4c57-963a-79bab8d77f0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模具状态分布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汇总!$B$9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4472C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A6A6A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zh-CN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汇总!$A$10:$A$14</c:f>
              <c:strCache>
                <c:ptCount val="5"/>
                <c:pt idx="0">
                  <c:v>在用</c:v>
                </c:pt>
                <c:pt idx="1">
                  <c:v>待用</c:v>
                </c:pt>
                <c:pt idx="2">
                  <c:v>研磨中</c:v>
                </c:pt>
                <c:pt idx="3">
                  <c:v>维修复用</c:v>
                </c:pt>
                <c:pt idx="4">
                  <c:v>已报废</c:v>
                </c:pt>
              </c:strCache>
            </c:strRef>
          </c:cat>
          <c:val>
            <c:numRef>
              <c:f>汇总!$B$10:$B$14</c:f>
              <c:numCache>
                <c:formatCode>#,##0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69e950-79a0-476d-ac52-4c9496ee106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停机原因分类时长(min)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汇总!$C$18</c:f>
              <c:strCache>
                <c:ptCount val="1"/>
                <c:pt idx="0">
                  <c:v>总时长(min)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汇总!$A$19:$A$23</c:f>
              <c:strCache>
                <c:ptCount val="5"/>
                <c:pt idx="0">
                  <c:v>设备故障</c:v>
                </c:pt>
                <c:pt idx="1">
                  <c:v>计划保养</c:v>
                </c:pt>
                <c:pt idx="2">
                  <c:v>换模调机</c:v>
                </c:pt>
                <c:pt idx="3">
                  <c:v>待料</c:v>
                </c:pt>
                <c:pt idx="4">
                  <c:v>其他</c:v>
                </c:pt>
              </c:strCache>
            </c:strRef>
          </c:cat>
          <c:val>
            <c:numRef>
              <c:f>汇总!$C$19:$C$23</c:f>
              <c:numCache>
                <c:formatCode>#,##0</c:formatCode>
                <c:ptCount val="5"/>
                <c:pt idx="0">
                  <c:v>1150</c:v>
                </c:pt>
                <c:pt idx="1">
                  <c:v>720</c:v>
                </c:pt>
                <c:pt idx="2">
                  <c:v>620</c:v>
                </c:pt>
                <c:pt idx="3">
                  <c:v>1020</c:v>
                </c:pt>
                <c:pt idx="4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70"/>
        <c:overlap val="0"/>
        <c:axId val="56327669"/>
        <c:axId val="36728472"/>
      </c:barChart>
      <c:catAx>
        <c:axId val="563276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728472"/>
        <c:crosses val="autoZero"/>
        <c:auto val="1"/>
        <c:lblAlgn val="ctr"/>
        <c:lblOffset val="100"/>
        <c:noMultiLvlLbl val="0"/>
      </c:catAx>
      <c:valAx>
        <c:axId val="36728472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3276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fe01991-a101-40c0-83d2-b8802cab58c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538920</xdr:colOff>
      <xdr:row>29</xdr:row>
      <xdr:rowOff>93960</xdr:rowOff>
    </xdr:to>
    <xdr:graphicFrame>
      <xdr:nvGraphicFramePr>
        <xdr:cNvPr id="2" name="Chart 1"/>
        <xdr:cNvGraphicFramePr/>
      </xdr:nvGraphicFramePr>
      <xdr:xfrm>
        <a:off x="0" y="3733800"/>
        <a:ext cx="4739005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15</xdr:col>
      <xdr:colOff>260835</xdr:colOff>
      <xdr:row>29</xdr:row>
      <xdr:rowOff>93960</xdr:rowOff>
    </xdr:to>
    <xdr:graphicFrame>
      <xdr:nvGraphicFramePr>
        <xdr:cNvPr id="3" name="Chart 2"/>
        <xdr:cNvGraphicFramePr/>
      </xdr:nvGraphicFramePr>
      <xdr:xfrm>
        <a:off x="6200775" y="3733800"/>
        <a:ext cx="3832225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538920</xdr:colOff>
      <xdr:row>45</xdr:row>
      <xdr:rowOff>68760</xdr:rowOff>
    </xdr:to>
    <xdr:graphicFrame>
      <xdr:nvGraphicFramePr>
        <xdr:cNvPr id="4" name="Chart 3"/>
        <xdr:cNvGraphicFramePr/>
      </xdr:nvGraphicFramePr>
      <xdr:xfrm>
        <a:off x="0" y="6972300"/>
        <a:ext cx="4739005" cy="2735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</sheetPr>
  <dimension ref="A1:R13"/>
  <sheetViews>
    <sheetView showGridLines="0" workbookViewId="0">
      <selection activeCell="X23" sqref="X23"/>
    </sheetView>
  </sheetViews>
  <sheetFormatPr defaultColWidth="8.6" defaultRowHeight="15"/>
  <cols>
    <col min="1" max="1" width="14" customWidth="1"/>
    <col min="2" max="2" width="9" customWidth="1"/>
    <col min="3" max="3" width="8" customWidth="1"/>
    <col min="4" max="4" width="10" customWidth="1"/>
    <col min="5" max="5" width="9" customWidth="1"/>
    <col min="6" max="6" width="13" customWidth="1"/>
    <col min="7" max="7" width="9" customWidth="1"/>
    <col min="8" max="8" width="8" customWidth="1"/>
    <col min="9" max="9" width="13" customWidth="1"/>
    <col min="10" max="10" width="9" customWidth="1"/>
    <col min="11" max="11" width="3" customWidth="1"/>
    <col min="12" max="12" width="13" customWidth="1"/>
    <col min="13" max="13" width="9" customWidth="1"/>
    <col min="14" max="14" width="6.57142857142857" customWidth="1"/>
    <col min="15" max="15" width="13" customWidth="1"/>
    <col min="16" max="16" width="9" customWidth="1"/>
    <col min="17" max="17" width="5.28571428571429" customWidth="1"/>
  </cols>
  <sheetData>
    <row r="1" ht="33.75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9.5" customHeight="1" spans="1:18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4" ht="18" customHeight="1" spans="1:18">
      <c r="A4" s="36" t="s">
        <v>2</v>
      </c>
      <c r="B4" s="36"/>
      <c r="D4" s="36" t="s">
        <v>3</v>
      </c>
      <c r="E4" s="36"/>
      <c r="G4" s="36" t="s">
        <v>4</v>
      </c>
      <c r="H4" s="36"/>
      <c r="J4" s="36" t="s">
        <v>5</v>
      </c>
      <c r="K4" s="36"/>
      <c r="M4" s="36" t="s">
        <v>6</v>
      </c>
      <c r="N4" s="36"/>
      <c r="P4" s="36" t="s">
        <v>7</v>
      </c>
      <c r="Q4" s="36"/>
    </row>
    <row r="5" ht="30" customHeight="1" spans="1:18">
      <c r="A5" s="37">
        <f>汇总!H6</f>
        <v>0.5625</v>
      </c>
      <c r="B5" s="37"/>
      <c r="D5" s="37">
        <f>汇总!L6</f>
        <v>0.712261052983122</v>
      </c>
      <c r="E5" s="37"/>
      <c r="G5" s="38">
        <f>汇总!I6</f>
        <v>33970</v>
      </c>
      <c r="H5" s="38"/>
      <c r="J5" s="38">
        <f>汇总!B10</f>
        <v>12</v>
      </c>
      <c r="K5" s="38"/>
      <c r="M5" s="38">
        <f>汇总!E10</f>
        <v>5</v>
      </c>
      <c r="N5" s="38"/>
      <c r="P5" s="38">
        <f>汇总!C24</f>
        <v>3575</v>
      </c>
      <c r="Q5" s="38"/>
    </row>
    <row r="6" ht="24" customHeight="1" spans="1:18">
      <c r="A6" s="39" t="str">
        <f>"运行 "&amp;汇总!C6&amp;" / "&amp;汇总!B6&amp;" 台"</f>
        <v>运行 9 / 16 台</v>
      </c>
      <c r="B6" s="39"/>
      <c r="D6" s="39" t="str">
        <f>"在产 "&amp;COUNTIF(设备状态!$P$2:$P$16,"&gt;0")&amp;" 台均值 · 稼动×性能×良品"</f>
        <v>在产 14 台均值 · 稼动×性能×良品</v>
      </c>
      <c r="E6" s="39"/>
      <c r="G6" s="39" t="str">
        <f>"计划 "&amp;TEXT(汇总!J6,"#,##0")&amp;" 件 · 达成 "&amp;TEXT(汇总!K6,"0.0%")</f>
        <v>计划 43,000 件 · 达成 79.0%</v>
      </c>
      <c r="H6" s="39"/>
      <c r="J6" s="39" t="str">
        <f>"模具总数 "&amp;汇总!B15&amp;" 套"</f>
        <v>模具总数 19 套</v>
      </c>
      <c r="K6" s="39"/>
      <c r="M6" s="39" t="str">
        <f>"寿命占用 ≥90% 待研磨"</f>
        <v>寿命占用 ≥90% 待研磨</v>
      </c>
      <c r="N6" s="39"/>
      <c r="P6" s="39" t="str">
        <f>"停机 "&amp;汇总!B24&amp;" 次"</f>
        <v>停机 19 次</v>
      </c>
      <c r="Q6" s="39"/>
    </row>
    <row r="7" ht="27" customHeight="1"/>
    <row r="8" ht="21.75" customHeight="1" spans="1:18">
      <c r="A8" s="16" t="s">
        <v>8</v>
      </c>
      <c r="B8" s="16"/>
      <c r="C8" s="16"/>
      <c r="D8" s="16"/>
      <c r="E8" s="16"/>
      <c r="F8" s="16"/>
      <c r="G8" s="16"/>
    </row>
    <row r="9" ht="24" customHeight="1" spans="1:18">
      <c r="A9" s="6" t="s">
        <v>9</v>
      </c>
      <c r="B9" s="6" t="s">
        <v>10</v>
      </c>
      <c r="C9" s="6" t="s">
        <v>11</v>
      </c>
      <c r="D9" s="6" t="s">
        <v>12</v>
      </c>
      <c r="E9" s="10" t="s">
        <v>13</v>
      </c>
      <c r="F9" s="9" t="s">
        <v>14</v>
      </c>
      <c r="G9" s="10" t="s">
        <v>15</v>
      </c>
    </row>
    <row r="10" ht="16.5" spans="1:18">
      <c r="A10" s="7" t="str">
        <f>汇总!A3</f>
        <v>一号冲压车间</v>
      </c>
      <c r="B10" s="11">
        <f>汇总!B3</f>
        <v>6</v>
      </c>
      <c r="C10" s="11">
        <f>汇总!C3</f>
        <v>3</v>
      </c>
      <c r="D10" s="11">
        <f>汇总!F3</f>
        <v>1</v>
      </c>
      <c r="E10" s="12">
        <f>汇总!H3</f>
        <v>0.5</v>
      </c>
      <c r="F10" s="11">
        <f>汇总!I3</f>
        <v>11120</v>
      </c>
      <c r="G10" s="12">
        <f>汇总!K3</f>
        <v>0.817647058823529</v>
      </c>
    </row>
    <row r="11" ht="16.5" spans="1:18">
      <c r="A11" s="7" t="str">
        <f>汇总!A4</f>
        <v>二号冲压车间</v>
      </c>
      <c r="B11" s="11">
        <f>汇总!B4</f>
        <v>5</v>
      </c>
      <c r="C11" s="11">
        <f>汇总!C4</f>
        <v>3</v>
      </c>
      <c r="D11" s="11">
        <f>汇总!F4</f>
        <v>0</v>
      </c>
      <c r="E11" s="12">
        <f>汇总!H4</f>
        <v>0.6</v>
      </c>
      <c r="F11" s="11">
        <f>汇总!I4</f>
        <v>14810</v>
      </c>
      <c r="G11" s="12">
        <f>汇总!K4</f>
        <v>0.796236559139785</v>
      </c>
    </row>
    <row r="12" ht="16.5" spans="1:18">
      <c r="A12" s="7" t="str">
        <f>汇总!A5</f>
        <v>三号焊接车间</v>
      </c>
      <c r="B12" s="11">
        <f>汇总!B5</f>
        <v>5</v>
      </c>
      <c r="C12" s="11">
        <f>汇总!C5</f>
        <v>3</v>
      </c>
      <c r="D12" s="11">
        <f>汇总!F5</f>
        <v>1</v>
      </c>
      <c r="E12" s="12">
        <f>汇总!H5</f>
        <v>0.6</v>
      </c>
      <c r="F12" s="11">
        <f>汇总!I5</f>
        <v>8040</v>
      </c>
      <c r="G12" s="12">
        <f>汇总!K5</f>
        <v>0.744444444444444</v>
      </c>
    </row>
    <row r="13" ht="16.5" spans="1:18">
      <c r="A13" s="13" t="s">
        <v>16</v>
      </c>
      <c r="B13" s="40">
        <f>SUM(B10:B12)</f>
        <v>16</v>
      </c>
      <c r="C13" s="40">
        <f>SUM(C10:C12)</f>
        <v>9</v>
      </c>
      <c r="D13" s="40">
        <f>SUM(D10:D12)</f>
        <v>2</v>
      </c>
      <c r="E13" s="15">
        <f>IF($B13=0,"",$C13/$B13)</f>
        <v>0.5625</v>
      </c>
      <c r="F13" s="14">
        <f>SUM(F10:F12)</f>
        <v>33970</v>
      </c>
      <c r="G13" s="15">
        <f>汇总!K6</f>
        <v>0.79</v>
      </c>
    </row>
  </sheetData>
  <mergeCells count="21">
    <mergeCell ref="A1:R1"/>
    <mergeCell ref="A2:R2"/>
    <mergeCell ref="A4:B4"/>
    <mergeCell ref="D4:E4"/>
    <mergeCell ref="G4:H4"/>
    <mergeCell ref="J4:K4"/>
    <mergeCell ref="M4:N4"/>
    <mergeCell ref="P4:Q4"/>
    <mergeCell ref="A5:B5"/>
    <mergeCell ref="D5:E5"/>
    <mergeCell ref="G5:H5"/>
    <mergeCell ref="J5:K5"/>
    <mergeCell ref="M5:N5"/>
    <mergeCell ref="P5:Q5"/>
    <mergeCell ref="A6:B6"/>
    <mergeCell ref="D6:E6"/>
    <mergeCell ref="G6:H6"/>
    <mergeCell ref="J6:K6"/>
    <mergeCell ref="M6:N6"/>
    <mergeCell ref="P6:Q6"/>
    <mergeCell ref="A8:G8"/>
  </mergeCells>
  <pageMargins left="0.75" right="0.75" top="1" bottom="1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pane ySplit="1" topLeftCell="A2" activePane="bottomLeft" state="frozen"/>
      <selection/>
      <selection pane="bottomLeft" activeCell="M21" sqref="M21"/>
    </sheetView>
  </sheetViews>
  <sheetFormatPr defaultColWidth="8.6" defaultRowHeight="15"/>
  <cols>
    <col min="1" max="1" width="6" style="33" customWidth="1"/>
    <col min="2" max="2" width="8" style="33" customWidth="1"/>
    <col min="3" max="3" width="11" style="33" customWidth="1"/>
    <col min="4" max="4" width="20" style="33" customWidth="1"/>
    <col min="5" max="5" width="14" style="33" customWidth="1"/>
    <col min="6" max="6" width="20.5714285714286" style="33" customWidth="1"/>
    <col min="7" max="7" width="14.7142857142857" style="33" customWidth="1"/>
    <col min="8" max="9" width="12" style="33" customWidth="1"/>
    <col min="10" max="10" width="9" style="33" customWidth="1"/>
    <col min="11" max="11" width="10" style="33" customWidth="1"/>
    <col min="12" max="12" width="9" style="33" customWidth="1"/>
    <col min="13" max="13" width="30" style="33" customWidth="1"/>
    <col min="14" max="16384" width="8.6" style="33"/>
  </cols>
  <sheetData>
    <row r="1" ht="25.5" customHeight="1" spans="1:13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14</v>
      </c>
      <c r="I1" s="6" t="s">
        <v>24</v>
      </c>
      <c r="J1" s="6" t="s">
        <v>15</v>
      </c>
      <c r="K1" s="6" t="s">
        <v>25</v>
      </c>
      <c r="L1" s="6" t="s">
        <v>26</v>
      </c>
      <c r="M1" s="6" t="s">
        <v>27</v>
      </c>
    </row>
    <row r="2" ht="16.5" spans="1:13">
      <c r="A2" s="7">
        <v>1</v>
      </c>
      <c r="B2" s="7" t="s">
        <v>28</v>
      </c>
      <c r="C2" s="8" t="s">
        <v>29</v>
      </c>
      <c r="D2" s="20" t="str">
        <f>IF($C2="","",IFERROR(VLOOKUP($C2,设备状态!$A:$B,2,0),""))</f>
        <v>400T 闭式双点压力机</v>
      </c>
      <c r="E2" s="20" t="str">
        <f>IF($C2="","",IFERROR(VLOOKUP($C2,设备状态!$A:$C,3,0),""))</f>
        <v>一号冲压车间</v>
      </c>
      <c r="F2" s="20" t="str">
        <f>IF($C2="","",IFERROR(VLOOKUP($C2,模具状态!$C:$E,3,0),""))</f>
        <v>PK-400 泵壳</v>
      </c>
      <c r="G2" s="8" t="s">
        <v>30</v>
      </c>
      <c r="H2" s="11">
        <v>2840</v>
      </c>
      <c r="I2" s="11">
        <v>3100</v>
      </c>
      <c r="J2" s="12">
        <f t="shared" ref="J2:J16" si="0">IF(OR($I2="",$I2=0),"",$H2/$I2)</f>
        <v>0.916129032258065</v>
      </c>
      <c r="K2" s="11">
        <v>45</v>
      </c>
      <c r="L2" s="12">
        <f t="shared" ref="L2:L16" si="1">IF(OR($H2="",$H2=0),"",($H2-$K2)/$H2)</f>
        <v>0.984154929577465</v>
      </c>
      <c r="M2" s="25"/>
    </row>
    <row r="3" ht="16.5" spans="1:13">
      <c r="A3" s="7">
        <v>2</v>
      </c>
      <c r="B3" s="7" t="s">
        <v>28</v>
      </c>
      <c r="C3" s="8" t="s">
        <v>31</v>
      </c>
      <c r="D3" s="20" t="str">
        <f>IF($C3="","",IFERROR(VLOOKUP($C3,设备状态!$A:$B,2,0),""))</f>
        <v>250T 开式压力机</v>
      </c>
      <c r="E3" s="20" t="str">
        <f>IF($C3="","",IFERROR(VLOOKUP($C3,设备状态!$A:$C,3,0),""))</f>
        <v>一号冲压车间</v>
      </c>
      <c r="F3" s="20" t="str">
        <f>IF($C3="","",IFERROR(VLOOKUP($C3,模具状态!$C:$E,3,0),""))</f>
        <v>YL-250 叶轮</v>
      </c>
      <c r="G3" s="8" t="s">
        <v>32</v>
      </c>
      <c r="H3" s="11">
        <v>3560</v>
      </c>
      <c r="I3" s="11">
        <v>3400</v>
      </c>
      <c r="J3" s="12">
        <f t="shared" si="0"/>
        <v>1.04705882352941</v>
      </c>
      <c r="K3" s="11">
        <v>39</v>
      </c>
      <c r="L3" s="12">
        <f t="shared" si="1"/>
        <v>0.989044943820225</v>
      </c>
      <c r="M3" s="25"/>
    </row>
    <row r="4" ht="16.5" spans="1:13">
      <c r="A4" s="7">
        <v>3</v>
      </c>
      <c r="B4" s="7" t="s">
        <v>28</v>
      </c>
      <c r="C4" s="8" t="s">
        <v>33</v>
      </c>
      <c r="D4" s="20" t="str">
        <f>IF($C4="","",IFERROR(VLOOKUP($C4,设备状态!$A:$B,2,0),""))</f>
        <v>160T 开式压力机</v>
      </c>
      <c r="E4" s="20" t="str">
        <f>IF($C4="","",IFERROR(VLOOKUP($C4,设备状态!$A:$C,3,0),""))</f>
        <v>一号冲压车间</v>
      </c>
      <c r="F4" s="20" t="str">
        <f>IF($C4="","",IFERROR(VLOOKUP($C4,模具状态!$C:$E,3,0),""))</f>
        <v>FL-150 法兰</v>
      </c>
      <c r="G4" s="8" t="s">
        <v>34</v>
      </c>
      <c r="H4" s="11">
        <v>1680</v>
      </c>
      <c r="I4" s="11">
        <v>2600</v>
      </c>
      <c r="J4" s="12">
        <f t="shared" si="0"/>
        <v>0.646153846153846</v>
      </c>
      <c r="K4" s="11">
        <v>52</v>
      </c>
      <c r="L4" s="12">
        <f t="shared" si="1"/>
        <v>0.969047619047619</v>
      </c>
      <c r="M4" s="2" t="s">
        <v>35</v>
      </c>
    </row>
    <row r="5" ht="16.5" spans="1:13">
      <c r="A5" s="7">
        <v>4</v>
      </c>
      <c r="B5" s="7" t="s">
        <v>28</v>
      </c>
      <c r="C5" s="8" t="s">
        <v>36</v>
      </c>
      <c r="D5" s="20" t="str">
        <f>IF($C5="","",IFERROR(VLOOKUP($C5,设备状态!$A:$B,2,0),""))</f>
        <v>200T 液压冲床</v>
      </c>
      <c r="E5" s="20" t="str">
        <f>IF($C5="","",IFERROR(VLOOKUP($C5,设备状态!$A:$C,3,0),""))</f>
        <v>一号冲压车间</v>
      </c>
      <c r="F5" s="20" t="str">
        <f>IF($C5="","",IFERROR(VLOOKUP($C5,模具状态!$C:$E,3,0),""))</f>
        <v>PK-400 泵壳</v>
      </c>
      <c r="G5" s="8" t="s">
        <v>37</v>
      </c>
      <c r="H5" s="11">
        <v>920</v>
      </c>
      <c r="I5" s="11">
        <v>2200</v>
      </c>
      <c r="J5" s="12">
        <f t="shared" si="0"/>
        <v>0.418181818181818</v>
      </c>
      <c r="K5" s="11">
        <v>31</v>
      </c>
      <c r="L5" s="12">
        <f t="shared" si="1"/>
        <v>0.966304347826087</v>
      </c>
      <c r="M5" s="2" t="s">
        <v>38</v>
      </c>
    </row>
    <row r="6" ht="16.5" spans="1:13">
      <c r="A6" s="7">
        <v>5</v>
      </c>
      <c r="B6" s="7" t="s">
        <v>28</v>
      </c>
      <c r="C6" s="8" t="s">
        <v>39</v>
      </c>
      <c r="D6" s="20" t="str">
        <f>IF($C6="","",IFERROR(VLOOKUP($C6,设备状态!$A:$B,2,0),""))</f>
        <v>315T 精冲压力机</v>
      </c>
      <c r="E6" s="20" t="str">
        <f>IF($C6="","",IFERROR(VLOOKUP($C6,设备状态!$A:$C,3,0),""))</f>
        <v>一号冲压车间</v>
      </c>
      <c r="F6" s="20" t="str">
        <f>IF($C6="","",IFERROR(VLOOKUP($C6,模具状态!$C:$E,3,0),""))</f>
        <v>YL-250 叶轮</v>
      </c>
      <c r="G6" s="8" t="s">
        <v>40</v>
      </c>
      <c r="H6" s="11">
        <v>1980</v>
      </c>
      <c r="I6" s="11">
        <v>2100</v>
      </c>
      <c r="J6" s="12">
        <f t="shared" si="0"/>
        <v>0.942857142857143</v>
      </c>
      <c r="K6" s="11">
        <v>22</v>
      </c>
      <c r="L6" s="12">
        <f t="shared" si="1"/>
        <v>0.988888888888889</v>
      </c>
      <c r="M6" s="2"/>
    </row>
    <row r="7" ht="16.5" spans="1:13">
      <c r="A7" s="7">
        <v>6</v>
      </c>
      <c r="B7" s="7" t="s">
        <v>28</v>
      </c>
      <c r="C7" s="8" t="s">
        <v>41</v>
      </c>
      <c r="D7" s="20" t="str">
        <f>IF($C7="","",IFERROR(VLOOKUP($C7,设备状态!$A:$B,2,0),""))</f>
        <v>125T 高速冲床</v>
      </c>
      <c r="E7" s="20" t="str">
        <f>IF($C7="","",IFERROR(VLOOKUP($C7,设备状态!$A:$C,3,0),""))</f>
        <v>二号冲压车间</v>
      </c>
      <c r="F7" s="20" t="str">
        <f>IF($C7="","",IFERROR(VLOOKUP($C7,模具状态!$C:$E,3,0),""))</f>
        <v>FL-150 法兰</v>
      </c>
      <c r="G7" s="8" t="s">
        <v>42</v>
      </c>
      <c r="H7" s="11">
        <v>5820</v>
      </c>
      <c r="I7" s="11">
        <v>5600</v>
      </c>
      <c r="J7" s="12">
        <f t="shared" si="0"/>
        <v>1.03928571428571</v>
      </c>
      <c r="K7" s="11">
        <v>58</v>
      </c>
      <c r="L7" s="12">
        <f t="shared" si="1"/>
        <v>0.990034364261168</v>
      </c>
      <c r="M7" s="2"/>
    </row>
    <row r="8" ht="16.5" spans="1:13">
      <c r="A8" s="7">
        <v>7</v>
      </c>
      <c r="B8" s="7" t="s">
        <v>28</v>
      </c>
      <c r="C8" s="8" t="s">
        <v>43</v>
      </c>
      <c r="D8" s="20" t="str">
        <f>IF($C8="","",IFERROR(VLOOKUP($C8,设备状态!$A:$B,2,0),""))</f>
        <v>110T 高速冲床</v>
      </c>
      <c r="E8" s="20" t="str">
        <f>IF($C8="","",IFERROR(VLOOKUP($C8,设备状态!$A:$C,3,0),""))</f>
        <v>二号冲压车间</v>
      </c>
      <c r="F8" s="20" t="str">
        <f>IF($C8="","",IFERROR(VLOOKUP($C8,模具状态!$C:$E,3,0),""))</f>
        <v>MF-100 密封盖</v>
      </c>
      <c r="G8" s="8" t="s">
        <v>44</v>
      </c>
      <c r="H8" s="11">
        <v>5460</v>
      </c>
      <c r="I8" s="11">
        <v>5400</v>
      </c>
      <c r="J8" s="12">
        <f t="shared" si="0"/>
        <v>1.01111111111111</v>
      </c>
      <c r="K8" s="11">
        <v>71</v>
      </c>
      <c r="L8" s="12">
        <f t="shared" si="1"/>
        <v>0.986996336996337</v>
      </c>
      <c r="M8" s="2"/>
    </row>
    <row r="9" ht="16.5" spans="1:13">
      <c r="A9" s="7">
        <v>8</v>
      </c>
      <c r="B9" s="7" t="s">
        <v>28</v>
      </c>
      <c r="C9" s="8" t="s">
        <v>45</v>
      </c>
      <c r="D9" s="20" t="str">
        <f>IF($C9="","",IFERROR(VLOOKUP($C9,设备状态!$A:$B,2,0),""))</f>
        <v>80T 开式压力机</v>
      </c>
      <c r="E9" s="20" t="str">
        <f>IF($C9="","",IFERROR(VLOOKUP($C9,设备状态!$A:$C,3,0),""))</f>
        <v>二号冲压车间</v>
      </c>
      <c r="F9" s="20" t="str">
        <f>IF($C9="","",IFERROR(VLOOKUP($C9,模具状态!$C:$E,3,0),""))</f>
        <v>DG-200 端盖</v>
      </c>
      <c r="G9" s="8" t="s">
        <v>46</v>
      </c>
      <c r="H9" s="11">
        <v>0</v>
      </c>
      <c r="I9" s="11">
        <v>1800</v>
      </c>
      <c r="J9" s="12">
        <f t="shared" si="0"/>
        <v>0</v>
      </c>
      <c r="K9" s="11">
        <v>0</v>
      </c>
      <c r="L9" s="12" t="str">
        <f t="shared" si="1"/>
        <v/>
      </c>
      <c r="M9" s="2" t="s">
        <v>47</v>
      </c>
    </row>
    <row r="10" ht="16.5" spans="1:13">
      <c r="A10" s="7">
        <v>9</v>
      </c>
      <c r="B10" s="7" t="s">
        <v>28</v>
      </c>
      <c r="C10" s="8" t="s">
        <v>48</v>
      </c>
      <c r="D10" s="20" t="str">
        <f>IF($C10="","",IFERROR(VLOOKUP($C10,设备状态!$A:$B,2,0),""))</f>
        <v>160T 开式压力机</v>
      </c>
      <c r="E10" s="20" t="str">
        <f>IF($C10="","",IFERROR(VLOOKUP($C10,设备状态!$A:$C,3,0),""))</f>
        <v>二号冲压车间</v>
      </c>
      <c r="F10" s="20" t="str">
        <f>IF($C10="","",IFERROR(VLOOKUP($C10,模具状态!$C:$E,3,0),""))</f>
        <v>FL-150 法兰</v>
      </c>
      <c r="G10" s="8" t="s">
        <v>49</v>
      </c>
      <c r="H10" s="11">
        <v>3120</v>
      </c>
      <c r="I10" s="11">
        <v>3200</v>
      </c>
      <c r="J10" s="12">
        <f t="shared" si="0"/>
        <v>0.975</v>
      </c>
      <c r="K10" s="11">
        <v>28</v>
      </c>
      <c r="L10" s="12">
        <f t="shared" si="1"/>
        <v>0.991025641025641</v>
      </c>
      <c r="M10" s="2"/>
    </row>
    <row r="11" ht="16.5" spans="1:13">
      <c r="A11" s="7">
        <v>10</v>
      </c>
      <c r="B11" s="7" t="s">
        <v>28</v>
      </c>
      <c r="C11" s="8" t="s">
        <v>50</v>
      </c>
      <c r="D11" s="20" t="str">
        <f>IF($C11="","",IFERROR(VLOOKUP($C11,设备状态!$A:$B,2,0),""))</f>
        <v>250T 液压冲床</v>
      </c>
      <c r="E11" s="20" t="str">
        <f>IF($C11="","",IFERROR(VLOOKUP($C11,设备状态!$A:$C,3,0),""))</f>
        <v>二号冲压车间</v>
      </c>
      <c r="F11" s="20" t="str">
        <f>IF($C11="","",IFERROR(VLOOKUP($C11,模具状态!$C:$E,3,0),""))</f>
        <v>MF-100 密封盖</v>
      </c>
      <c r="G11" s="8" t="s">
        <v>51</v>
      </c>
      <c r="H11" s="11">
        <v>410</v>
      </c>
      <c r="I11" s="11">
        <v>2600</v>
      </c>
      <c r="J11" s="12">
        <f t="shared" si="0"/>
        <v>0.157692307692308</v>
      </c>
      <c r="K11" s="11">
        <v>9</v>
      </c>
      <c r="L11" s="12">
        <f t="shared" si="1"/>
        <v>0.978048780487805</v>
      </c>
      <c r="M11" s="2" t="s">
        <v>52</v>
      </c>
    </row>
    <row r="12" ht="16.5" spans="1:13">
      <c r="A12" s="7">
        <v>11</v>
      </c>
      <c r="B12" s="7" t="s">
        <v>28</v>
      </c>
      <c r="C12" s="8" t="s">
        <v>53</v>
      </c>
      <c r="D12" s="20" t="str">
        <f>IF($C12="","",IFERROR(VLOOKUP($C12,设备状态!$A:$B,2,0),""))</f>
        <v>355T 闭式压力机</v>
      </c>
      <c r="E12" s="20" t="str">
        <f>IF($C12="","",IFERROR(VLOOKUP($C12,设备状态!$A:$C,3,0),""))</f>
        <v>三号焊接车间</v>
      </c>
      <c r="F12" s="20" t="str">
        <f>IF($C12="","",IFERROR(VLOOKUP($C12,模具状态!$C:$E,3,0),""))</f>
        <v>PT-350 泵体</v>
      </c>
      <c r="G12" s="8" t="s">
        <v>54</v>
      </c>
      <c r="H12" s="11">
        <v>1640</v>
      </c>
      <c r="I12" s="11">
        <v>1900</v>
      </c>
      <c r="J12" s="12">
        <f t="shared" si="0"/>
        <v>0.863157894736842</v>
      </c>
      <c r="K12" s="11">
        <v>18</v>
      </c>
      <c r="L12" s="12">
        <f t="shared" si="1"/>
        <v>0.989024390243902</v>
      </c>
      <c r="M12" s="2"/>
    </row>
    <row r="13" ht="16.5" spans="1:13">
      <c r="A13" s="7">
        <v>12</v>
      </c>
      <c r="B13" s="7" t="s">
        <v>28</v>
      </c>
      <c r="C13" s="8" t="s">
        <v>55</v>
      </c>
      <c r="D13" s="20" t="str">
        <f>IF($C13="","",IFERROR(VLOOKUP($C13,设备状态!$A:$B,2,0),""))</f>
        <v>220T 闭式压力机</v>
      </c>
      <c r="E13" s="20" t="str">
        <f>IF($C13="","",IFERROR(VLOOKUP($C13,设备状态!$A:$C,3,0),""))</f>
        <v>三号焊接车间</v>
      </c>
      <c r="F13" s="20" t="str">
        <f>IF($C13="","",IFERROR(VLOOKUP($C13,模具状态!$C:$E,3,0),""))</f>
        <v>PT-350 泵体</v>
      </c>
      <c r="G13" s="8" t="s">
        <v>56</v>
      </c>
      <c r="H13" s="11">
        <v>2140</v>
      </c>
      <c r="I13" s="11">
        <v>2200</v>
      </c>
      <c r="J13" s="12">
        <f t="shared" si="0"/>
        <v>0.972727272727273</v>
      </c>
      <c r="K13" s="11">
        <v>25</v>
      </c>
      <c r="L13" s="12">
        <f t="shared" si="1"/>
        <v>0.988317757009346</v>
      </c>
      <c r="M13" s="2"/>
    </row>
    <row r="14" ht="16.5" spans="1:13">
      <c r="A14" s="7">
        <v>13</v>
      </c>
      <c r="B14" s="7" t="s">
        <v>28</v>
      </c>
      <c r="C14" s="8" t="s">
        <v>57</v>
      </c>
      <c r="D14" s="20" t="str">
        <f>IF($C14="","",IFERROR(VLOOKUP($C14,设备状态!$A:$B,2,0),""))</f>
        <v>140T 开式压力机</v>
      </c>
      <c r="E14" s="20" t="str">
        <f>IF($C14="","",IFERROR(VLOOKUP($C14,设备状态!$A:$C,3,0),""))</f>
        <v>三号焊接车间</v>
      </c>
      <c r="F14" s="20" t="str">
        <f>IF($C14="","",IFERROR(VLOOKUP($C14,模具状态!$C:$E,3,0),""))</f>
        <v>FL-150 法兰</v>
      </c>
      <c r="G14" s="8" t="s">
        <v>58</v>
      </c>
      <c r="H14" s="11">
        <v>2860</v>
      </c>
      <c r="I14" s="11">
        <v>2800</v>
      </c>
      <c r="J14" s="12">
        <f t="shared" si="0"/>
        <v>1.02142857142857</v>
      </c>
      <c r="K14" s="11">
        <v>33</v>
      </c>
      <c r="L14" s="12">
        <f t="shared" si="1"/>
        <v>0.988461538461539</v>
      </c>
      <c r="M14" s="2"/>
    </row>
    <row r="15" ht="16.5" spans="1:13">
      <c r="A15" s="7">
        <v>14</v>
      </c>
      <c r="B15" s="7" t="s">
        <v>28</v>
      </c>
      <c r="C15" s="8" t="s">
        <v>59</v>
      </c>
      <c r="D15" s="20" t="str">
        <f>IF($C15="","",IFERROR(VLOOKUP($C15,设备状态!$A:$B,2,0),""))</f>
        <v>63T 开式压力机</v>
      </c>
      <c r="E15" s="20" t="str">
        <f>IF($C15="","",IFERROR(VLOOKUP($C15,设备状态!$A:$C,3,0),""))</f>
        <v>三号焊接车间</v>
      </c>
      <c r="F15" s="20" t="str">
        <f>IF($C15="","",IFERROR(VLOOKUP($C15,模具状态!$C:$E,3,0),""))</f>
        <v>ZJ-063 泵支架</v>
      </c>
      <c r="G15" s="8" t="s">
        <v>60</v>
      </c>
      <c r="H15" s="11">
        <v>760</v>
      </c>
      <c r="I15" s="11">
        <v>2400</v>
      </c>
      <c r="J15" s="12">
        <f t="shared" si="0"/>
        <v>0.316666666666667</v>
      </c>
      <c r="K15" s="11">
        <v>14</v>
      </c>
      <c r="L15" s="12">
        <f t="shared" si="1"/>
        <v>0.981578947368421</v>
      </c>
      <c r="M15" s="2"/>
    </row>
    <row r="16" ht="16.5" spans="1:13">
      <c r="A16" s="7">
        <v>15</v>
      </c>
      <c r="B16" s="7" t="s">
        <v>28</v>
      </c>
      <c r="C16" s="8" t="s">
        <v>61</v>
      </c>
      <c r="D16" s="20" t="str">
        <f>IF($C16="","",IFERROR(VLOOKUP($C16,设备状态!$A:$B,2,0),""))</f>
        <v>200T 折弯冲床</v>
      </c>
      <c r="E16" s="20" t="str">
        <f>IF($C16="","",IFERROR(VLOOKUP($C16,设备状态!$A:$C,3,0),""))</f>
        <v>三号焊接车间</v>
      </c>
      <c r="F16" s="20" t="str">
        <f>IF($C16="","",IFERROR(VLOOKUP($C16,模具状态!$C:$E,3,0),""))</f>
        <v>PT-350 泵体</v>
      </c>
      <c r="G16" s="8" t="s">
        <v>62</v>
      </c>
      <c r="H16" s="11">
        <v>640</v>
      </c>
      <c r="I16" s="11">
        <v>1500</v>
      </c>
      <c r="J16" s="12">
        <f t="shared" si="0"/>
        <v>0.426666666666667</v>
      </c>
      <c r="K16" s="11">
        <v>12</v>
      </c>
      <c r="L16" s="12">
        <f t="shared" si="1"/>
        <v>0.98125</v>
      </c>
      <c r="M16" s="2" t="s">
        <v>63</v>
      </c>
    </row>
    <row r="17" ht="27" customHeight="1" spans="1:12">
      <c r="A17" s="7">
        <v>16</v>
      </c>
      <c r="B17" s="7" t="s">
        <v>28</v>
      </c>
      <c r="C17" s="34" t="s">
        <v>64</v>
      </c>
      <c r="D17" s="20" t="str">
        <f>IF($C17="","",IFERROR(VLOOKUP($C17,设备状态!$A:$B,2,0),""))</f>
        <v>J23-100T压力机</v>
      </c>
      <c r="E17" s="20" t="str">
        <f>IF($C17="","",IFERROR(VLOOKUP($C17,设备状态!$A:$C,3,0),""))</f>
        <v>一号冲压车间</v>
      </c>
      <c r="F17" s="20" t="str">
        <f>IF($C17="","",IFERROR(VLOOKUP($C17,模具状态!$C:$E,3,0),""))</f>
        <v>GD50-200/400泵壳</v>
      </c>
      <c r="G17" s="8" t="s">
        <v>65</v>
      </c>
      <c r="H17" s="33">
        <v>140</v>
      </c>
      <c r="I17" s="33">
        <v>200</v>
      </c>
      <c r="J17" s="12">
        <f>IF(OR($I17="",$I17=0),"",$H17/$I17)</f>
        <v>0.7</v>
      </c>
      <c r="K17" s="33">
        <v>3</v>
      </c>
      <c r="L17" s="12">
        <f>IF(OR($H17="",$H17=0),"",($H17-$K17)/$H17)</f>
        <v>0.978571428571429</v>
      </c>
    </row>
  </sheetData>
  <autoFilter xmlns:etc="http://www.wps.cn/officeDocument/2017/etCustomData" ref="A1:M17" etc:filterBottomFollowUsedRange="0">
    <extLst/>
  </autoFilter>
  <conditionalFormatting sqref="J2:J17">
    <cfRule type="cellIs" dxfId="0" priority="2" operator="greaterThanOrEqual">
      <formula>1</formula>
    </cfRule>
    <cfRule type="cellIs" dxfId="1" priority="3" operator="lessThan">
      <formula>0.8</formula>
    </cfRule>
  </conditionalFormatting>
  <dataValidations count="1">
    <dataValidation type="list" allowBlank="1" sqref="B2:B15 B16:B17">
      <formula1>"白班,夜班"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1"/>
  <sheetViews>
    <sheetView workbookViewId="0">
      <pane ySplit="1" topLeftCell="A2" activePane="bottomLeft" state="frozen"/>
      <selection/>
      <selection pane="bottomLeft" activeCell="A17" sqref="A17"/>
    </sheetView>
  </sheetViews>
  <sheetFormatPr defaultColWidth="8.6" defaultRowHeight="15"/>
  <cols>
    <col min="1" max="1" width="10" customWidth="1"/>
    <col min="2" max="2" width="19" customWidth="1"/>
    <col min="3" max="3" width="14" customWidth="1"/>
    <col min="4" max="4" width="12" customWidth="1"/>
    <col min="5" max="5" width="8" customWidth="1"/>
    <col min="6" max="6" width="10" customWidth="1"/>
    <col min="7" max="8" width="13" customWidth="1"/>
    <col min="9" max="9" width="12" customWidth="1"/>
    <col min="10" max="10" width="11" customWidth="1"/>
    <col min="11" max="11" width="12" customWidth="1"/>
    <col min="12" max="12" width="10" customWidth="1"/>
    <col min="13" max="14" width="11" customWidth="1"/>
    <col min="15" max="18" width="9" customWidth="1"/>
  </cols>
  <sheetData>
    <row r="1" ht="25.5" customHeight="1" spans="1:18">
      <c r="A1" s="6" t="s">
        <v>19</v>
      </c>
      <c r="B1" s="6" t="s">
        <v>20</v>
      </c>
      <c r="C1" s="6" t="s">
        <v>21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14</v>
      </c>
      <c r="J1" s="6" t="s">
        <v>71</v>
      </c>
      <c r="K1" s="6" t="s">
        <v>24</v>
      </c>
      <c r="L1" s="6" t="s">
        <v>25</v>
      </c>
      <c r="M1" s="6" t="s">
        <v>72</v>
      </c>
      <c r="N1" s="6" t="s">
        <v>73</v>
      </c>
      <c r="O1" s="6" t="s">
        <v>26</v>
      </c>
      <c r="P1" s="24" t="s">
        <v>74</v>
      </c>
      <c r="Q1" s="6" t="s">
        <v>15</v>
      </c>
      <c r="R1" s="6" t="s">
        <v>75</v>
      </c>
    </row>
    <row r="2" ht="16.5" spans="1:18">
      <c r="A2" s="8" t="s">
        <v>29</v>
      </c>
      <c r="B2" s="25" t="s">
        <v>76</v>
      </c>
      <c r="C2" s="18" t="s">
        <v>77</v>
      </c>
      <c r="D2" s="7" t="s">
        <v>78</v>
      </c>
      <c r="E2" s="18">
        <v>400</v>
      </c>
      <c r="F2" s="7" t="s">
        <v>11</v>
      </c>
      <c r="G2" s="18">
        <v>655</v>
      </c>
      <c r="H2" s="18">
        <v>65</v>
      </c>
      <c r="I2" s="11">
        <f>IF($A2="","",SUMIF(生产明细!$C:$C,$A2,生产明细!$H:$H))</f>
        <v>2840</v>
      </c>
      <c r="J2" s="26">
        <v>4.34</v>
      </c>
      <c r="K2" s="11">
        <f>IF($A2="","",SUMIF(生产明细!$C:$C,$A2,生产明细!$I:$I))</f>
        <v>3100</v>
      </c>
      <c r="L2" s="11">
        <f>IF($A2="","",SUMIF(生产明细!$C:$C,$A2,生产明细!$K:$K))</f>
        <v>45</v>
      </c>
      <c r="M2" s="12">
        <f>IF($G2="","",$G2/基础配置!$B$3)</f>
        <v>0.909722222222222</v>
      </c>
      <c r="N2" s="12">
        <f t="shared" ref="N2:N16" si="0">IF(OR($G2="",$G2=0,$J2=""),"",IF($J2=0,"",$I2/($G2*$J2)))</f>
        <v>0.999050198754705</v>
      </c>
      <c r="O2" s="12">
        <f t="shared" ref="O2:O16" si="1">IF(OR($I2="",$I2=0),"",($I2-$L2)/$I2)</f>
        <v>0.984154929577465</v>
      </c>
      <c r="P2" s="12">
        <f t="shared" ref="P2:P16" si="2">IF(OR($M2="",$N2="",$O2=""),"",$M2*$N2*$O2)</f>
        <v>0.894457245263697</v>
      </c>
      <c r="Q2" s="12">
        <f t="shared" ref="Q2:Q16" si="3">IF(OR($K2="",$K2=0),"",$I2/$K2)</f>
        <v>0.916129032258065</v>
      </c>
      <c r="R2" s="7" t="s">
        <v>79</v>
      </c>
    </row>
    <row r="3" ht="16.5" spans="1:18">
      <c r="A3" s="8" t="s">
        <v>31</v>
      </c>
      <c r="B3" s="25" t="s">
        <v>80</v>
      </c>
      <c r="C3" s="18" t="s">
        <v>77</v>
      </c>
      <c r="D3" s="7" t="s">
        <v>78</v>
      </c>
      <c r="E3" s="18">
        <v>250</v>
      </c>
      <c r="F3" s="7" t="s">
        <v>11</v>
      </c>
      <c r="G3" s="18">
        <v>690</v>
      </c>
      <c r="H3" s="18">
        <v>30</v>
      </c>
      <c r="I3" s="11">
        <f>IF($A3="","",SUMIF(生产明细!$C:$C,$A3,生产明细!$H:$H))</f>
        <v>3560</v>
      </c>
      <c r="J3" s="26">
        <v>5.16</v>
      </c>
      <c r="K3" s="11">
        <f>IF($A3="","",SUMIF(生产明细!$C:$C,$A3,生产明细!$I:$I))</f>
        <v>3400</v>
      </c>
      <c r="L3" s="11">
        <f>IF($A3="","",SUMIF(生产明细!$C:$C,$A3,生产明细!$K:$K))</f>
        <v>39</v>
      </c>
      <c r="M3" s="12">
        <f>IF($G3="","",$G3/基础配置!$B$3)</f>
        <v>0.958333333333333</v>
      </c>
      <c r="N3" s="12">
        <f t="shared" si="0"/>
        <v>0.999887653072688</v>
      </c>
      <c r="O3" s="12">
        <f t="shared" si="1"/>
        <v>0.989044943820225</v>
      </c>
      <c r="P3" s="12">
        <f t="shared" si="2"/>
        <v>0.947728251507321</v>
      </c>
      <c r="Q3" s="12">
        <f t="shared" si="3"/>
        <v>1.04705882352941</v>
      </c>
      <c r="R3" s="7" t="s">
        <v>81</v>
      </c>
    </row>
    <row r="4" ht="16.5" spans="1:18">
      <c r="A4" s="8" t="s">
        <v>33</v>
      </c>
      <c r="B4" s="25" t="s">
        <v>82</v>
      </c>
      <c r="C4" s="18" t="s">
        <v>77</v>
      </c>
      <c r="D4" s="7" t="s">
        <v>78</v>
      </c>
      <c r="E4" s="18">
        <v>160</v>
      </c>
      <c r="F4" s="7" t="s">
        <v>83</v>
      </c>
      <c r="G4" s="18">
        <v>420</v>
      </c>
      <c r="H4" s="18">
        <v>300</v>
      </c>
      <c r="I4" s="11">
        <f>IF($A4="","",SUMIF(生产明细!$C:$C,$A4,生产明细!$H:$H))</f>
        <v>1680</v>
      </c>
      <c r="J4" s="26">
        <v>4</v>
      </c>
      <c r="K4" s="11">
        <f>IF($A4="","",SUMIF(生产明细!$C:$C,$A4,生产明细!$I:$I))</f>
        <v>2600</v>
      </c>
      <c r="L4" s="11">
        <f>IF($A4="","",SUMIF(生产明细!$C:$C,$A4,生产明细!$K:$K))</f>
        <v>52</v>
      </c>
      <c r="M4" s="12">
        <f>IF($G4="","",$G4/基础配置!$B$3)</f>
        <v>0.583333333333333</v>
      </c>
      <c r="N4" s="12">
        <f t="shared" si="0"/>
        <v>1</v>
      </c>
      <c r="O4" s="12">
        <f t="shared" si="1"/>
        <v>0.969047619047619</v>
      </c>
      <c r="P4" s="12">
        <f t="shared" si="2"/>
        <v>0.565277777777778</v>
      </c>
      <c r="Q4" s="12">
        <f t="shared" si="3"/>
        <v>0.646153846153846</v>
      </c>
      <c r="R4" s="7" t="s">
        <v>84</v>
      </c>
    </row>
    <row r="5" ht="16.5" spans="1:18">
      <c r="A5" s="8" t="s">
        <v>36</v>
      </c>
      <c r="B5" s="25" t="s">
        <v>85</v>
      </c>
      <c r="C5" s="18" t="s">
        <v>77</v>
      </c>
      <c r="D5" s="7" t="s">
        <v>86</v>
      </c>
      <c r="E5" s="18">
        <v>200</v>
      </c>
      <c r="F5" s="7" t="s">
        <v>12</v>
      </c>
      <c r="G5" s="18">
        <v>310</v>
      </c>
      <c r="H5" s="18">
        <v>410</v>
      </c>
      <c r="I5" s="11">
        <f>IF($A5="","",SUMIF(生产明细!$C:$C,$A5,生产明细!$H:$H))</f>
        <v>920</v>
      </c>
      <c r="J5" s="26">
        <v>2.97</v>
      </c>
      <c r="K5" s="11">
        <f>IF($A5="","",SUMIF(生产明细!$C:$C,$A5,生产明细!$I:$I))</f>
        <v>2200</v>
      </c>
      <c r="L5" s="11">
        <f>IF($A5="","",SUMIF(生产明细!$C:$C,$A5,生产明细!$K:$K))</f>
        <v>31</v>
      </c>
      <c r="M5" s="12">
        <f>IF($G5="","",$G5/基础配置!$B$3)</f>
        <v>0.430555555555556</v>
      </c>
      <c r="N5" s="12">
        <f t="shared" si="0"/>
        <v>0.999239708917128</v>
      </c>
      <c r="O5" s="12">
        <f t="shared" si="1"/>
        <v>0.966304347826087</v>
      </c>
      <c r="P5" s="12">
        <f t="shared" si="2"/>
        <v>0.41573138795361</v>
      </c>
      <c r="Q5" s="12">
        <f t="shared" si="3"/>
        <v>0.418181818181818</v>
      </c>
      <c r="R5" s="7" t="s">
        <v>87</v>
      </c>
    </row>
    <row r="6" ht="16.5" spans="1:18">
      <c r="A6" s="8" t="s">
        <v>39</v>
      </c>
      <c r="B6" s="25" t="s">
        <v>88</v>
      </c>
      <c r="C6" s="18" t="s">
        <v>77</v>
      </c>
      <c r="D6" s="7" t="s">
        <v>89</v>
      </c>
      <c r="E6" s="18">
        <v>315</v>
      </c>
      <c r="F6" s="7" t="s">
        <v>11</v>
      </c>
      <c r="G6" s="18">
        <v>665</v>
      </c>
      <c r="H6" s="18">
        <v>55</v>
      </c>
      <c r="I6" s="11">
        <f>IF($A6="","",SUMIF(生产明细!$C:$C,$A6,生产明细!$H:$H))</f>
        <v>1980</v>
      </c>
      <c r="J6" s="26">
        <v>2.98</v>
      </c>
      <c r="K6" s="11">
        <f>IF($A6="","",SUMIF(生产明细!$C:$C,$A6,生产明细!$I:$I))</f>
        <v>2100</v>
      </c>
      <c r="L6" s="11">
        <f>IF($A6="","",SUMIF(生产明细!$C:$C,$A6,生产明细!$K:$K))</f>
        <v>22</v>
      </c>
      <c r="M6" s="12">
        <f>IF($G6="","",$G6/基础配置!$B$3)</f>
        <v>0.923611111111111</v>
      </c>
      <c r="N6" s="12">
        <f t="shared" si="0"/>
        <v>0.99914215067871</v>
      </c>
      <c r="O6" s="12">
        <f t="shared" si="1"/>
        <v>0.988888888888889</v>
      </c>
      <c r="P6" s="12">
        <f t="shared" si="2"/>
        <v>0.912565249813572</v>
      </c>
      <c r="Q6" s="12">
        <f t="shared" si="3"/>
        <v>0.942857142857143</v>
      </c>
      <c r="R6" s="7" t="s">
        <v>90</v>
      </c>
    </row>
    <row r="7" ht="16.5" spans="1:18">
      <c r="A7" s="8" t="s">
        <v>41</v>
      </c>
      <c r="B7" s="25" t="s">
        <v>91</v>
      </c>
      <c r="C7" s="18" t="s">
        <v>92</v>
      </c>
      <c r="D7" s="7" t="s">
        <v>93</v>
      </c>
      <c r="E7" s="18">
        <v>125</v>
      </c>
      <c r="F7" s="7" t="s">
        <v>11</v>
      </c>
      <c r="G7" s="18">
        <v>700</v>
      </c>
      <c r="H7" s="18">
        <v>20</v>
      </c>
      <c r="I7" s="11">
        <f>IF($A7="","",SUMIF(生产明细!$C:$C,$A7,生产明细!$H:$H))</f>
        <v>5820</v>
      </c>
      <c r="J7" s="26">
        <v>8.31</v>
      </c>
      <c r="K7" s="11">
        <f>IF($A7="","",SUMIF(生产明细!$C:$C,$A7,生产明细!$I:$I))</f>
        <v>5600</v>
      </c>
      <c r="L7" s="11">
        <f>IF($A7="","",SUMIF(生产明细!$C:$C,$A7,生产明细!$K:$K))</f>
        <v>58</v>
      </c>
      <c r="M7" s="12">
        <f>IF($G7="","",$G7/基础配置!$B$3)</f>
        <v>0.972222222222222</v>
      </c>
      <c r="N7" s="12">
        <f t="shared" si="0"/>
        <v>1.00051572975761</v>
      </c>
      <c r="O7" s="12">
        <f t="shared" si="1"/>
        <v>0.990034364261168</v>
      </c>
      <c r="P7" s="12">
        <f t="shared" si="2"/>
        <v>0.963029816820431</v>
      </c>
      <c r="Q7" s="12">
        <f t="shared" si="3"/>
        <v>1.03928571428571</v>
      </c>
      <c r="R7" s="7" t="s">
        <v>94</v>
      </c>
    </row>
    <row r="8" ht="16.5" spans="1:18">
      <c r="A8" s="8" t="s">
        <v>43</v>
      </c>
      <c r="B8" s="25" t="s">
        <v>95</v>
      </c>
      <c r="C8" s="18" t="s">
        <v>92</v>
      </c>
      <c r="D8" s="7" t="s">
        <v>93</v>
      </c>
      <c r="E8" s="18">
        <v>110</v>
      </c>
      <c r="F8" s="7" t="s">
        <v>11</v>
      </c>
      <c r="G8" s="18">
        <v>690</v>
      </c>
      <c r="H8" s="18">
        <v>30</v>
      </c>
      <c r="I8" s="11">
        <f>IF($A8="","",SUMIF(生产明细!$C:$C,$A8,生产明细!$H:$H))</f>
        <v>5460</v>
      </c>
      <c r="J8" s="26">
        <v>7.91</v>
      </c>
      <c r="K8" s="11">
        <f>IF($A8="","",SUMIF(生产明细!$C:$C,$A8,生产明细!$I:$I))</f>
        <v>5400</v>
      </c>
      <c r="L8" s="11">
        <f>IF($A8="","",SUMIF(生产明细!$C:$C,$A8,生产明细!$K:$K))</f>
        <v>71</v>
      </c>
      <c r="M8" s="12">
        <f>IF($G8="","",$G8/基础配置!$B$3)</f>
        <v>0.958333333333333</v>
      </c>
      <c r="N8" s="12">
        <f t="shared" si="0"/>
        <v>1.00038476337053</v>
      </c>
      <c r="O8" s="12">
        <f t="shared" si="1"/>
        <v>0.986996336996337</v>
      </c>
      <c r="P8" s="12">
        <f t="shared" si="2"/>
        <v>0.946235426323922</v>
      </c>
      <c r="Q8" s="12">
        <f t="shared" si="3"/>
        <v>1.01111111111111</v>
      </c>
      <c r="R8" s="7" t="s">
        <v>96</v>
      </c>
    </row>
    <row r="9" ht="16.5" spans="1:18">
      <c r="A9" s="8" t="s">
        <v>45</v>
      </c>
      <c r="B9" s="25" t="s">
        <v>97</v>
      </c>
      <c r="C9" s="18" t="s">
        <v>92</v>
      </c>
      <c r="D9" s="7" t="s">
        <v>78</v>
      </c>
      <c r="E9" s="18">
        <v>80</v>
      </c>
      <c r="F9" s="7" t="s">
        <v>98</v>
      </c>
      <c r="G9" s="18">
        <v>0</v>
      </c>
      <c r="H9" s="18">
        <v>720</v>
      </c>
      <c r="I9" s="11">
        <f>IF($A9="","",SUMIF(生产明细!$C:$C,$A9,生产明细!$H:$H))</f>
        <v>0</v>
      </c>
      <c r="J9" s="26">
        <v>0</v>
      </c>
      <c r="K9" s="11">
        <f>IF($A9="","",SUMIF(生产明细!$C:$C,$A9,生产明细!$I:$I))</f>
        <v>1800</v>
      </c>
      <c r="L9" s="11">
        <f>IF($A9="","",SUMIF(生产明细!$C:$C,$A9,生产明细!$K:$K))</f>
        <v>0</v>
      </c>
      <c r="M9" s="12">
        <f>IF($G9="","",$G9/基础配置!$B$3)</f>
        <v>0</v>
      </c>
      <c r="N9" s="12" t="str">
        <f t="shared" si="0"/>
        <v/>
      </c>
      <c r="O9" s="12" t="str">
        <f t="shared" si="1"/>
        <v/>
      </c>
      <c r="P9" s="12" t="str">
        <f t="shared" si="2"/>
        <v/>
      </c>
      <c r="Q9" s="12">
        <f t="shared" si="3"/>
        <v>0</v>
      </c>
      <c r="R9" s="7" t="s">
        <v>99</v>
      </c>
    </row>
    <row r="10" ht="16.5" spans="1:18">
      <c r="A10" s="8" t="s">
        <v>48</v>
      </c>
      <c r="B10" s="25" t="s">
        <v>100</v>
      </c>
      <c r="C10" s="18" t="s">
        <v>92</v>
      </c>
      <c r="D10" s="7" t="s">
        <v>78</v>
      </c>
      <c r="E10" s="18">
        <v>160</v>
      </c>
      <c r="F10" s="7" t="s">
        <v>11</v>
      </c>
      <c r="G10" s="18">
        <v>640</v>
      </c>
      <c r="H10" s="18">
        <v>80</v>
      </c>
      <c r="I10" s="11">
        <f>IF($A10="","",SUMIF(生产明细!$C:$C,$A10,生产明细!$H:$H))</f>
        <v>3120</v>
      </c>
      <c r="J10" s="26">
        <v>4.88</v>
      </c>
      <c r="K10" s="11">
        <f>IF($A10="","",SUMIF(生产明细!$C:$C,$A10,生产明细!$I:$I))</f>
        <v>3200</v>
      </c>
      <c r="L10" s="11">
        <f>IF($A10="","",SUMIF(生产明细!$C:$C,$A10,生产明细!$K:$K))</f>
        <v>28</v>
      </c>
      <c r="M10" s="12">
        <f>IF($G10="","",$G10/基础配置!$B$3)</f>
        <v>0.888888888888889</v>
      </c>
      <c r="N10" s="12">
        <f t="shared" si="0"/>
        <v>0.998975409836066</v>
      </c>
      <c r="O10" s="12">
        <f t="shared" si="1"/>
        <v>0.991025641025641</v>
      </c>
      <c r="P10" s="12">
        <f t="shared" si="2"/>
        <v>0.880009107468124</v>
      </c>
      <c r="Q10" s="12">
        <f t="shared" si="3"/>
        <v>0.975</v>
      </c>
      <c r="R10" s="7" t="s">
        <v>101</v>
      </c>
    </row>
    <row r="11" ht="16.5" spans="1:18">
      <c r="A11" s="8" t="s">
        <v>50</v>
      </c>
      <c r="B11" s="25" t="s">
        <v>102</v>
      </c>
      <c r="C11" s="18" t="s">
        <v>92</v>
      </c>
      <c r="D11" s="7" t="s">
        <v>86</v>
      </c>
      <c r="E11" s="18">
        <v>250</v>
      </c>
      <c r="F11" s="7" t="s">
        <v>103</v>
      </c>
      <c r="G11" s="18">
        <v>95</v>
      </c>
      <c r="H11" s="18">
        <v>625</v>
      </c>
      <c r="I11" s="11">
        <f>IF($A11="","",SUMIF(生产明细!$C:$C,$A11,生产明细!$H:$H))</f>
        <v>410</v>
      </c>
      <c r="J11" s="26">
        <v>4.32</v>
      </c>
      <c r="K11" s="11">
        <f>IF($A11="","",SUMIF(生产明细!$C:$C,$A11,生产明细!$I:$I))</f>
        <v>2600</v>
      </c>
      <c r="L11" s="11">
        <f>IF($A11="","",SUMIF(生产明细!$C:$C,$A11,生产明细!$K:$K))</f>
        <v>9</v>
      </c>
      <c r="M11" s="12">
        <f>IF($G11="","",$G11/基础配置!$B$3)</f>
        <v>0.131944444444444</v>
      </c>
      <c r="N11" s="12">
        <f t="shared" si="0"/>
        <v>0.999025341130604</v>
      </c>
      <c r="O11" s="12">
        <f t="shared" si="1"/>
        <v>0.978048780487805</v>
      </c>
      <c r="P11" s="12">
        <f t="shared" si="2"/>
        <v>0.128922325102881</v>
      </c>
      <c r="Q11" s="12">
        <f t="shared" si="3"/>
        <v>0.157692307692308</v>
      </c>
      <c r="R11" s="7" t="s">
        <v>104</v>
      </c>
    </row>
    <row r="12" ht="16.5" spans="1:18">
      <c r="A12" s="8" t="s">
        <v>53</v>
      </c>
      <c r="B12" s="25" t="s">
        <v>105</v>
      </c>
      <c r="C12" s="18" t="s">
        <v>106</v>
      </c>
      <c r="D12" s="7" t="s">
        <v>78</v>
      </c>
      <c r="E12" s="18">
        <v>355</v>
      </c>
      <c r="F12" s="7" t="s">
        <v>11</v>
      </c>
      <c r="G12" s="18">
        <v>665</v>
      </c>
      <c r="H12" s="18">
        <v>55</v>
      </c>
      <c r="I12" s="11">
        <f>IF($A12="","",SUMIF(生产明细!$C:$C,$A12,生产明细!$H:$H))</f>
        <v>1640</v>
      </c>
      <c r="J12" s="26">
        <v>2.47</v>
      </c>
      <c r="K12" s="11">
        <f>IF($A12="","",SUMIF(生产明细!$C:$C,$A12,生产明细!$I:$I))</f>
        <v>1900</v>
      </c>
      <c r="L12" s="11">
        <f>IF($A12="","",SUMIF(生产明细!$C:$C,$A12,生产明细!$K:$K))</f>
        <v>18</v>
      </c>
      <c r="M12" s="12">
        <f>IF($G12="","",$G12/基础配置!$B$3)</f>
        <v>0.923611111111111</v>
      </c>
      <c r="N12" s="12">
        <f t="shared" si="0"/>
        <v>0.998447535843658</v>
      </c>
      <c r="O12" s="12">
        <f t="shared" si="1"/>
        <v>0.989024390243902</v>
      </c>
      <c r="P12" s="12">
        <f t="shared" si="2"/>
        <v>0.912055780476833</v>
      </c>
      <c r="Q12" s="12">
        <f t="shared" si="3"/>
        <v>0.863157894736842</v>
      </c>
      <c r="R12" s="7" t="s">
        <v>107</v>
      </c>
    </row>
    <row r="13" ht="16.5" spans="1:18">
      <c r="A13" s="8" t="s">
        <v>55</v>
      </c>
      <c r="B13" s="25" t="s">
        <v>108</v>
      </c>
      <c r="C13" s="18" t="s">
        <v>106</v>
      </c>
      <c r="D13" s="7" t="s">
        <v>78</v>
      </c>
      <c r="E13" s="18">
        <v>220</v>
      </c>
      <c r="F13" s="7" t="s">
        <v>11</v>
      </c>
      <c r="G13" s="18">
        <v>675</v>
      </c>
      <c r="H13" s="18">
        <v>45</v>
      </c>
      <c r="I13" s="11">
        <f>IF($A13="","",SUMIF(生产明细!$C:$C,$A13,生产明细!$H:$H))</f>
        <v>2140</v>
      </c>
      <c r="J13" s="26">
        <v>3.17</v>
      </c>
      <c r="K13" s="11">
        <f>IF($A13="","",SUMIF(生产明细!$C:$C,$A13,生产明细!$I:$I))</f>
        <v>2200</v>
      </c>
      <c r="L13" s="11">
        <f>IF($A13="","",SUMIF(生产明细!$C:$C,$A13,生产明细!$K:$K))</f>
        <v>25</v>
      </c>
      <c r="M13" s="12">
        <f>IF($G13="","",$G13/基础配置!$B$3)</f>
        <v>0.9375</v>
      </c>
      <c r="N13" s="12">
        <f t="shared" si="0"/>
        <v>1.00011683607898</v>
      </c>
      <c r="O13" s="12">
        <f t="shared" si="1"/>
        <v>0.988317757009346</v>
      </c>
      <c r="P13" s="12">
        <f t="shared" si="2"/>
        <v>0.926656151419558</v>
      </c>
      <c r="Q13" s="12">
        <f t="shared" si="3"/>
        <v>0.972727272727273</v>
      </c>
      <c r="R13" s="7" t="s">
        <v>109</v>
      </c>
    </row>
    <row r="14" ht="16.5" spans="1:18">
      <c r="A14" s="8" t="s">
        <v>57</v>
      </c>
      <c r="B14" s="25" t="s">
        <v>110</v>
      </c>
      <c r="C14" s="18" t="s">
        <v>106</v>
      </c>
      <c r="D14" s="7" t="s">
        <v>78</v>
      </c>
      <c r="E14" s="18">
        <v>140</v>
      </c>
      <c r="F14" s="7" t="s">
        <v>11</v>
      </c>
      <c r="G14" s="18">
        <v>660</v>
      </c>
      <c r="H14" s="18">
        <v>60</v>
      </c>
      <c r="I14" s="11">
        <f>IF($A14="","",SUMIF(生产明细!$C:$C,$A14,生产明细!$H:$H))</f>
        <v>2860</v>
      </c>
      <c r="J14" s="26">
        <v>4.33</v>
      </c>
      <c r="K14" s="11">
        <f>IF($A14="","",SUMIF(生产明细!$C:$C,$A14,生产明细!$I:$I))</f>
        <v>2800</v>
      </c>
      <c r="L14" s="11">
        <f>IF($A14="","",SUMIF(生产明细!$C:$C,$A14,生产明细!$K:$K))</f>
        <v>33</v>
      </c>
      <c r="M14" s="12">
        <f>IF($G14="","",$G14/基础配置!$B$3)</f>
        <v>0.916666666666667</v>
      </c>
      <c r="N14" s="12">
        <f t="shared" si="0"/>
        <v>1.00076982294072</v>
      </c>
      <c r="O14" s="12">
        <f t="shared" si="1"/>
        <v>0.988461538461539</v>
      </c>
      <c r="P14" s="12">
        <f t="shared" si="2"/>
        <v>0.906787272260713</v>
      </c>
      <c r="Q14" s="12">
        <f t="shared" si="3"/>
        <v>1.02142857142857</v>
      </c>
      <c r="R14" s="7" t="s">
        <v>111</v>
      </c>
    </row>
    <row r="15" ht="16.5" spans="1:18">
      <c r="A15" s="8" t="s">
        <v>59</v>
      </c>
      <c r="B15" s="25" t="s">
        <v>112</v>
      </c>
      <c r="C15" s="18" t="s">
        <v>106</v>
      </c>
      <c r="D15" s="7" t="s">
        <v>78</v>
      </c>
      <c r="E15" s="18">
        <v>63</v>
      </c>
      <c r="F15" s="7" t="s">
        <v>103</v>
      </c>
      <c r="G15" s="18">
        <v>180</v>
      </c>
      <c r="H15" s="18">
        <v>540</v>
      </c>
      <c r="I15" s="11">
        <f>IF($A15="","",SUMIF(生产明细!$C:$C,$A15,生产明细!$H:$H))</f>
        <v>760</v>
      </c>
      <c r="J15" s="26">
        <v>4.22</v>
      </c>
      <c r="K15" s="11">
        <f>IF($A15="","",SUMIF(生产明细!$C:$C,$A15,生产明细!$I:$I))</f>
        <v>2400</v>
      </c>
      <c r="L15" s="11">
        <f>IF($A15="","",SUMIF(生产明细!$C:$C,$A15,生产明细!$K:$K))</f>
        <v>14</v>
      </c>
      <c r="M15" s="12">
        <f>IF($G15="","",$G15/基础配置!$B$3)</f>
        <v>0.25</v>
      </c>
      <c r="N15" s="12">
        <f t="shared" si="0"/>
        <v>1.00052659294365</v>
      </c>
      <c r="O15" s="12">
        <f t="shared" si="1"/>
        <v>0.981578947368421</v>
      </c>
      <c r="P15" s="12">
        <f t="shared" si="2"/>
        <v>0.245523959978936</v>
      </c>
      <c r="Q15" s="12">
        <f t="shared" si="3"/>
        <v>0.316666666666667</v>
      </c>
      <c r="R15" s="7" t="s">
        <v>113</v>
      </c>
    </row>
    <row r="16" ht="16.5" spans="1:18">
      <c r="A16" s="8" t="s">
        <v>61</v>
      </c>
      <c r="B16" s="25" t="s">
        <v>114</v>
      </c>
      <c r="C16" s="18" t="s">
        <v>106</v>
      </c>
      <c r="D16" s="7" t="s">
        <v>86</v>
      </c>
      <c r="E16" s="18">
        <v>200</v>
      </c>
      <c r="F16" s="7" t="s">
        <v>12</v>
      </c>
      <c r="G16" s="18">
        <v>240</v>
      </c>
      <c r="H16" s="18">
        <v>480</v>
      </c>
      <c r="I16" s="11">
        <f>IF($A16="","",SUMIF(生产明细!$C:$C,$A16,生产明细!$H:$H))</f>
        <v>640</v>
      </c>
      <c r="J16" s="26">
        <v>2.67</v>
      </c>
      <c r="K16" s="11">
        <f>IF($A16="","",SUMIF(生产明细!$C:$C,$A16,生产明细!$I:$I))</f>
        <v>1500</v>
      </c>
      <c r="L16" s="11">
        <f>IF($A16="","",SUMIF(生产明细!$C:$C,$A16,生产明细!$K:$K))</f>
        <v>12</v>
      </c>
      <c r="M16" s="12">
        <f>IF($G16="","",$G16/基础配置!$B$3)</f>
        <v>0.333333333333333</v>
      </c>
      <c r="N16" s="12">
        <f t="shared" si="0"/>
        <v>0.998751560549313</v>
      </c>
      <c r="O16" s="12">
        <f t="shared" si="1"/>
        <v>0.98125</v>
      </c>
      <c r="P16" s="12">
        <f t="shared" si="2"/>
        <v>0.326674989596338</v>
      </c>
      <c r="Q16" s="12">
        <f t="shared" si="3"/>
        <v>0.426666666666667</v>
      </c>
      <c r="R16" s="7" t="s">
        <v>115</v>
      </c>
    </row>
    <row r="17" ht="16.5" spans="1:18">
      <c r="A17" s="19" t="s">
        <v>64</v>
      </c>
      <c r="B17" s="27" t="s">
        <v>116</v>
      </c>
      <c r="C17" s="18" t="s">
        <v>77</v>
      </c>
      <c r="D17" s="7" t="s">
        <v>78</v>
      </c>
      <c r="E17">
        <v>100</v>
      </c>
      <c r="F17" s="7" t="s">
        <v>83</v>
      </c>
      <c r="G17">
        <v>0</v>
      </c>
      <c r="H17">
        <v>60</v>
      </c>
      <c r="I17" s="11">
        <f>IF($A17="","",SUMIF(生产明细!$C:$C,$A17,生产明细!$H:$H))</f>
        <v>140</v>
      </c>
      <c r="J17">
        <v>0</v>
      </c>
      <c r="K17" s="11">
        <f>IF($A17="","",SUMIF(生产明细!$C:$C,$A17,生产明细!$I:$I))</f>
        <v>200</v>
      </c>
      <c r="L17" s="11">
        <f>IF($A17="","",SUMIF(生产明细!$C:$C,$A17,生产明细!$K:$K))</f>
        <v>3</v>
      </c>
      <c r="M17" s="12">
        <f>IF($G17="","",$G17/基础配置!$B$3)</f>
        <v>0</v>
      </c>
      <c r="N17" s="12" t="str">
        <f>IF(OR($G17="",$G17=0,$J17=""),"",IF($J17=0,"",$I17/($G17*$J17)))</f>
        <v/>
      </c>
      <c r="O17" s="12">
        <f>IF(OR($I17="",$I17=0),"",($I17-$L17)/$I17)</f>
        <v>0.978571428571429</v>
      </c>
      <c r="P17" s="12" t="str">
        <f>IF(OR($M17="",$N17="",$O17=""),"",$M17*$N17*$O17)</f>
        <v/>
      </c>
      <c r="Q17" s="12">
        <f>IF(OR($K17="",$K17=0),"",$I17/$K17)</f>
        <v>0.7</v>
      </c>
      <c r="R17" s="28" t="s">
        <v>117</v>
      </c>
    </row>
    <row r="18" ht="16.5" spans="1:18">
      <c r="A18" s="29"/>
      <c r="B18" s="30"/>
      <c r="R18" s="31"/>
    </row>
    <row r="19" ht="16.5" spans="1:18">
      <c r="A19" s="29"/>
      <c r="B19" s="30"/>
      <c r="R19" s="31"/>
    </row>
    <row r="20" ht="16.5" spans="1:18">
      <c r="A20" s="29"/>
      <c r="B20" s="30"/>
      <c r="R20" s="31"/>
    </row>
    <row r="21" ht="16.5" spans="1:18">
      <c r="A21" s="29"/>
      <c r="B21" s="30"/>
      <c r="R21" s="31"/>
    </row>
    <row r="22" ht="16.5" spans="1:18">
      <c r="A22" s="29"/>
      <c r="B22" s="30"/>
      <c r="R22" s="31"/>
    </row>
    <row r="23" ht="16.5" spans="1:18">
      <c r="A23" s="29"/>
      <c r="B23" s="30"/>
      <c r="R23" s="31"/>
    </row>
    <row r="24" ht="16.5" spans="1:18">
      <c r="A24" s="29"/>
      <c r="B24" s="30"/>
      <c r="R24" s="31"/>
    </row>
    <row r="25" ht="16.5" spans="1:18">
      <c r="A25" s="29"/>
      <c r="B25" s="30"/>
      <c r="R25" s="31"/>
    </row>
    <row r="26" ht="16.5" spans="1:18">
      <c r="A26" s="29"/>
      <c r="B26" s="30"/>
      <c r="R26" s="31"/>
    </row>
    <row r="27" ht="16.5" spans="1:18">
      <c r="A27" s="29"/>
      <c r="B27" s="30"/>
      <c r="R27" s="31"/>
    </row>
    <row r="28" ht="16.5" spans="1:18">
      <c r="A28" s="29"/>
      <c r="B28" s="30"/>
      <c r="R28" s="31"/>
    </row>
    <row r="29" ht="16.5" spans="1:18">
      <c r="A29" s="29"/>
      <c r="B29" s="30"/>
      <c r="R29" s="31"/>
    </row>
    <row r="30" ht="16.5" spans="1:18">
      <c r="A30" s="29"/>
      <c r="B30" s="30"/>
      <c r="R30" s="31"/>
    </row>
    <row r="31" ht="16.5" spans="1:18">
      <c r="A31" s="29"/>
      <c r="B31" s="30"/>
      <c r="R31" s="31"/>
    </row>
    <row r="32" ht="16.5" spans="1:18">
      <c r="A32" s="29"/>
      <c r="B32" s="30"/>
      <c r="R32" s="31"/>
    </row>
    <row r="33" ht="16.5" spans="1:18">
      <c r="A33" s="29"/>
      <c r="B33" s="30"/>
      <c r="R33" s="31"/>
    </row>
    <row r="34" ht="16.5" spans="1:18">
      <c r="A34" s="29"/>
      <c r="B34" s="30"/>
      <c r="R34" s="31"/>
    </row>
    <row r="35" ht="16.5" spans="1:18">
      <c r="A35" s="29"/>
      <c r="B35" s="30"/>
      <c r="R35" s="31"/>
    </row>
    <row r="36" ht="16.5" spans="1:18">
      <c r="A36" s="29"/>
      <c r="B36" s="30"/>
      <c r="R36" s="31"/>
    </row>
    <row r="37" ht="16.5" spans="1:18">
      <c r="A37" s="29"/>
      <c r="B37" s="30"/>
      <c r="R37" s="31"/>
    </row>
    <row r="38" ht="16.5" spans="1:18">
      <c r="A38" s="29"/>
      <c r="B38" s="30"/>
      <c r="R38" s="31"/>
    </row>
    <row r="39" ht="16.5" spans="1:18">
      <c r="A39" s="29"/>
      <c r="B39" s="30"/>
      <c r="R39" s="31"/>
    </row>
    <row r="40" ht="16.5" spans="1:18">
      <c r="A40" s="29"/>
      <c r="B40" s="30"/>
      <c r="R40" s="31"/>
    </row>
    <row r="41" ht="16.5" spans="1:18">
      <c r="A41" s="29"/>
      <c r="B41" s="30"/>
      <c r="R41" s="31"/>
    </row>
    <row r="42" ht="16.5" spans="1:18">
      <c r="A42" s="29"/>
      <c r="B42" s="30"/>
      <c r="R42" s="31"/>
    </row>
    <row r="43" ht="16.5" spans="1:18">
      <c r="A43" s="29"/>
      <c r="B43" s="30"/>
      <c r="R43" s="31"/>
    </row>
    <row r="44" ht="16.5" spans="1:18">
      <c r="A44" s="29"/>
      <c r="B44" s="30"/>
      <c r="R44" s="31"/>
    </row>
    <row r="45" ht="16.5" spans="1:18">
      <c r="A45" s="29"/>
      <c r="B45" s="30"/>
      <c r="R45" s="31"/>
    </row>
    <row r="46" ht="16.5" spans="1:18">
      <c r="A46" s="29"/>
      <c r="B46" s="30"/>
      <c r="R46" s="31"/>
    </row>
    <row r="47" ht="16.5" spans="1:18">
      <c r="A47" s="29"/>
      <c r="B47" s="30"/>
      <c r="R47" s="31"/>
    </row>
    <row r="48" ht="16.5" spans="1:18">
      <c r="A48" s="29"/>
      <c r="B48" s="30"/>
      <c r="R48" s="31"/>
    </row>
    <row r="49" ht="16.5" spans="1:18">
      <c r="A49" s="29"/>
      <c r="B49" s="30"/>
      <c r="R49" s="31"/>
    </row>
    <row r="50" ht="16.5" spans="1:18">
      <c r="A50" s="29"/>
      <c r="B50" s="30"/>
      <c r="R50" s="31"/>
    </row>
    <row r="51" ht="16.5" spans="1:18">
      <c r="A51" s="29"/>
      <c r="B51" s="30"/>
      <c r="R51" s="31"/>
    </row>
    <row r="52" ht="16.5" spans="1:18">
      <c r="A52" s="29"/>
      <c r="B52" s="30"/>
      <c r="R52" s="31"/>
    </row>
    <row r="53" ht="16.5" spans="1:18">
      <c r="A53" s="29"/>
      <c r="B53" s="30"/>
      <c r="R53" s="31"/>
    </row>
    <row r="54" ht="16.5" spans="1:18">
      <c r="A54" s="29"/>
      <c r="B54" s="30"/>
      <c r="R54" s="31"/>
    </row>
    <row r="55" ht="16.5" spans="1:18">
      <c r="A55" s="29"/>
      <c r="B55" s="30"/>
      <c r="R55" s="31"/>
    </row>
    <row r="56" ht="16.5" spans="1:18">
      <c r="A56" s="29"/>
      <c r="B56" s="30"/>
      <c r="R56" s="31"/>
    </row>
    <row r="57" ht="16.5" spans="1:18">
      <c r="A57" s="29"/>
      <c r="B57" s="30"/>
      <c r="R57" s="31"/>
    </row>
    <row r="58" ht="16.5" spans="1:18">
      <c r="A58" s="29"/>
      <c r="B58" s="30"/>
      <c r="R58" s="31"/>
    </row>
    <row r="59" ht="16.5" spans="1:18">
      <c r="A59" s="29"/>
      <c r="B59" s="30"/>
      <c r="R59" s="31"/>
    </row>
    <row r="60" ht="16.5" spans="1:18">
      <c r="A60" s="29"/>
      <c r="B60" s="30"/>
      <c r="R60" s="31"/>
    </row>
    <row r="61" ht="16.5" spans="1:18">
      <c r="A61" s="29"/>
      <c r="B61" s="30"/>
      <c r="R61" s="31"/>
    </row>
    <row r="62" ht="16.5" spans="1:18">
      <c r="A62" s="29"/>
      <c r="B62" s="30"/>
      <c r="R62" s="31"/>
    </row>
    <row r="63" ht="16.5" spans="1:18">
      <c r="A63" s="29"/>
      <c r="B63" s="30"/>
      <c r="R63" s="31"/>
    </row>
    <row r="64" ht="16.5" spans="1:18">
      <c r="A64" s="29"/>
      <c r="B64" s="30"/>
      <c r="R64" s="31"/>
    </row>
    <row r="65" ht="16.5" spans="1:18">
      <c r="A65" s="29"/>
      <c r="B65" s="30"/>
      <c r="R65" s="31"/>
    </row>
    <row r="66" ht="16.5" spans="1:18">
      <c r="A66" s="29"/>
      <c r="B66" s="30"/>
      <c r="R66" s="31"/>
    </row>
    <row r="67" ht="16.5" spans="1:18">
      <c r="A67" s="29"/>
      <c r="B67" s="30"/>
      <c r="R67" s="31"/>
    </row>
    <row r="68" ht="16.5" spans="1:18">
      <c r="A68" s="29"/>
      <c r="B68" s="30"/>
      <c r="R68" s="31"/>
    </row>
    <row r="69" ht="16.5" spans="1:18">
      <c r="A69" s="29"/>
      <c r="B69" s="30"/>
      <c r="R69" s="31"/>
    </row>
    <row r="70" ht="16.5" spans="1:18">
      <c r="A70" s="29"/>
      <c r="B70" s="30"/>
      <c r="R70" s="31"/>
    </row>
    <row r="71" ht="16.5" spans="1:18">
      <c r="A71" s="29"/>
      <c r="B71" s="30"/>
      <c r="R71" s="31"/>
    </row>
    <row r="72" ht="16.5" spans="1:18">
      <c r="A72" s="29"/>
      <c r="B72" s="30"/>
      <c r="R72" s="31"/>
    </row>
    <row r="73" ht="16.5" spans="1:18">
      <c r="A73" s="29"/>
      <c r="B73" s="30"/>
      <c r="R73" s="31"/>
    </row>
    <row r="74" ht="16.5" spans="1:18">
      <c r="A74" s="29"/>
      <c r="B74" s="30"/>
      <c r="R74" s="31"/>
    </row>
    <row r="75" ht="16.5" spans="1:18">
      <c r="A75" s="29"/>
      <c r="B75" s="30"/>
      <c r="R75" s="31"/>
    </row>
    <row r="76" ht="16.5" spans="1:18">
      <c r="A76" s="29"/>
      <c r="B76" s="30"/>
      <c r="R76" s="31"/>
    </row>
    <row r="77" ht="16.5" spans="1:18">
      <c r="A77" s="29"/>
      <c r="B77" s="30"/>
      <c r="R77" s="31"/>
    </row>
    <row r="78" ht="16.5" spans="1:18">
      <c r="A78" s="29"/>
      <c r="B78" s="30"/>
      <c r="R78" s="31"/>
    </row>
    <row r="79" ht="16.5" spans="1:18">
      <c r="A79" s="29"/>
      <c r="B79" s="30"/>
      <c r="R79" s="31"/>
    </row>
    <row r="80" ht="16.5" spans="1:18">
      <c r="A80" s="29"/>
      <c r="B80" s="30"/>
      <c r="R80" s="31"/>
    </row>
    <row r="81" ht="16.5" spans="1:18">
      <c r="A81" s="29"/>
      <c r="B81" s="30"/>
      <c r="R81" s="31"/>
    </row>
    <row r="82" ht="16.5" spans="1:18">
      <c r="A82" s="29"/>
      <c r="B82" s="30"/>
      <c r="R82" s="31"/>
    </row>
    <row r="83" ht="16.5" spans="1:18">
      <c r="A83" s="29"/>
      <c r="B83" s="30"/>
      <c r="R83" s="31"/>
    </row>
    <row r="84" ht="16.5" spans="1:18">
      <c r="A84" s="29"/>
      <c r="B84" s="30"/>
      <c r="R84" s="31"/>
    </row>
    <row r="85" ht="16.5" spans="1:18">
      <c r="A85" s="29"/>
      <c r="B85" s="30"/>
      <c r="R85" s="31"/>
    </row>
    <row r="86" ht="16.5" spans="1:18">
      <c r="A86" s="29"/>
      <c r="B86" s="30"/>
      <c r="R86" s="31"/>
    </row>
    <row r="87" ht="16.5" spans="1:18">
      <c r="A87" s="29"/>
      <c r="B87" s="30"/>
      <c r="R87" s="31"/>
    </row>
    <row r="88" ht="16.5" spans="1:18">
      <c r="A88" s="29"/>
      <c r="B88" s="30"/>
      <c r="R88" s="31"/>
    </row>
    <row r="89" ht="16.5" spans="1:18">
      <c r="A89" s="29"/>
      <c r="B89" s="30"/>
      <c r="R89" s="31"/>
    </row>
    <row r="90" ht="16.5" spans="1:18">
      <c r="A90" s="29"/>
      <c r="B90" s="30"/>
      <c r="R90" s="31"/>
    </row>
    <row r="91" ht="16.5" spans="1:18">
      <c r="A91" s="29"/>
      <c r="B91" s="30"/>
      <c r="R91" s="31"/>
    </row>
    <row r="92" ht="16.5" spans="1:18">
      <c r="A92" s="29"/>
      <c r="B92" s="30"/>
      <c r="R92" s="31"/>
    </row>
    <row r="93" ht="16.5" spans="1:18">
      <c r="A93" s="29"/>
      <c r="B93" s="30"/>
      <c r="R93" s="31"/>
    </row>
    <row r="94" ht="16.5" spans="1:18">
      <c r="A94" s="29"/>
      <c r="B94" s="30"/>
      <c r="R94" s="31"/>
    </row>
    <row r="95" ht="16.5" spans="1:18">
      <c r="A95" s="29"/>
      <c r="B95" s="30"/>
      <c r="R95" s="31"/>
    </row>
    <row r="96" ht="16.5" spans="1:18">
      <c r="A96" s="29"/>
      <c r="B96" s="30"/>
      <c r="R96" s="31"/>
    </row>
    <row r="97" ht="16.5" spans="1:18">
      <c r="A97" s="29"/>
      <c r="B97" s="30"/>
      <c r="R97" s="31"/>
    </row>
    <row r="98" ht="16.5" spans="1:18">
      <c r="A98" s="29"/>
      <c r="B98" s="30"/>
      <c r="R98" s="31"/>
    </row>
    <row r="99" ht="16.5" spans="1:18">
      <c r="A99" s="29"/>
      <c r="B99" s="30"/>
      <c r="R99" s="31"/>
    </row>
    <row r="100" ht="16.5" spans="1:18">
      <c r="A100" s="29"/>
      <c r="B100" s="30"/>
      <c r="R100" s="31"/>
    </row>
    <row r="101" ht="16.5" spans="1:18">
      <c r="A101" s="29"/>
      <c r="B101" s="30"/>
      <c r="R101" s="31"/>
    </row>
    <row r="102" ht="16.5" spans="1:18">
      <c r="A102" s="29"/>
      <c r="B102" s="30"/>
      <c r="R102" s="31"/>
    </row>
    <row r="103" ht="16.5" spans="1:18">
      <c r="A103" s="29"/>
      <c r="B103" s="30"/>
      <c r="R103" s="31"/>
    </row>
    <row r="104" ht="16.5" spans="1:18">
      <c r="A104" s="29"/>
      <c r="B104" s="30"/>
      <c r="R104" s="31"/>
    </row>
    <row r="105" ht="16.5" spans="1:18">
      <c r="A105" s="29"/>
      <c r="B105" s="30"/>
      <c r="R105" s="31"/>
    </row>
    <row r="106" ht="16.5" spans="1:18">
      <c r="A106" s="29"/>
      <c r="B106" s="30"/>
      <c r="R106" s="31"/>
    </row>
    <row r="107" ht="16.5" spans="1:18">
      <c r="A107" s="29"/>
      <c r="B107" s="30"/>
      <c r="R107" s="31"/>
    </row>
    <row r="108" ht="16.5" spans="1:18">
      <c r="A108" s="29"/>
      <c r="B108" s="30"/>
      <c r="R108" s="31"/>
    </row>
    <row r="109" ht="16.5" spans="1:18">
      <c r="A109" s="29"/>
      <c r="B109" s="30"/>
      <c r="R109" s="31"/>
    </row>
    <row r="110" ht="16.5" spans="1:18">
      <c r="A110" s="29"/>
      <c r="B110" s="30"/>
      <c r="R110" s="31"/>
    </row>
    <row r="111" ht="16.5" spans="1:18">
      <c r="A111" s="29"/>
      <c r="B111" s="30"/>
      <c r="R111" s="31"/>
    </row>
    <row r="112" ht="16.5" spans="1:18">
      <c r="A112" s="29"/>
      <c r="B112" s="30"/>
      <c r="R112" s="31"/>
    </row>
    <row r="113" ht="16.5" spans="1:18">
      <c r="A113" s="29"/>
      <c r="B113" s="30"/>
      <c r="R113" s="31"/>
    </row>
    <row r="114" ht="16.5" spans="1:18">
      <c r="A114" s="29"/>
      <c r="B114" s="30"/>
      <c r="R114" s="31"/>
    </row>
    <row r="115" ht="16.5" spans="1:18">
      <c r="A115" s="29"/>
      <c r="B115" s="30"/>
      <c r="R115" s="31"/>
    </row>
    <row r="116" ht="16.5" spans="1:18">
      <c r="A116" s="29"/>
      <c r="B116" s="30"/>
      <c r="R116" s="31"/>
    </row>
    <row r="117" ht="16.5" spans="1:18">
      <c r="A117" s="29"/>
      <c r="B117" s="30"/>
      <c r="R117" s="31"/>
    </row>
    <row r="118" ht="16.5" spans="1:18">
      <c r="A118" s="29"/>
      <c r="B118" s="30"/>
      <c r="R118" s="31"/>
    </row>
    <row r="119" ht="16.5" spans="1:18">
      <c r="A119" s="29"/>
      <c r="B119" s="30"/>
      <c r="R119" s="31"/>
    </row>
    <row r="120" ht="16.5" spans="1:18">
      <c r="A120" s="29"/>
      <c r="B120" s="30"/>
      <c r="R120" s="31"/>
    </row>
    <row r="121" ht="16.5" spans="1:18">
      <c r="A121" s="29"/>
      <c r="B121" s="30"/>
      <c r="R121" s="31"/>
    </row>
    <row r="122" ht="16.5" spans="1:18">
      <c r="A122" s="29"/>
      <c r="B122" s="30"/>
      <c r="R122" s="31"/>
    </row>
    <row r="123" ht="16.5" spans="1:18">
      <c r="A123" s="29"/>
      <c r="B123" s="30"/>
      <c r="R123" s="31"/>
    </row>
    <row r="124" ht="16.5" spans="1:18">
      <c r="A124" s="29"/>
      <c r="B124" s="30"/>
      <c r="R124" s="31"/>
    </row>
    <row r="125" ht="16.5" spans="1:18">
      <c r="A125" s="29"/>
      <c r="B125" s="30"/>
      <c r="R125" s="31"/>
    </row>
    <row r="126" ht="16.5" spans="1:18">
      <c r="A126" s="29"/>
      <c r="B126" s="30"/>
      <c r="R126" s="31"/>
    </row>
    <row r="127" ht="16.5" spans="1:18">
      <c r="A127" s="29"/>
      <c r="B127" s="30"/>
      <c r="R127" s="31"/>
    </row>
    <row r="128" ht="16.5" spans="1:18">
      <c r="A128" s="29"/>
      <c r="B128" s="30"/>
      <c r="R128" s="31"/>
    </row>
    <row r="129" ht="16.5" spans="1:18">
      <c r="A129" s="29"/>
      <c r="B129" s="30"/>
      <c r="R129" s="31"/>
    </row>
    <row r="130" ht="16.5" spans="1:18">
      <c r="A130" s="29"/>
      <c r="B130" s="30"/>
      <c r="R130" s="31"/>
    </row>
    <row r="131" ht="16.5" spans="1:18">
      <c r="A131" s="29"/>
      <c r="B131" s="30"/>
      <c r="R131" s="31"/>
    </row>
    <row r="132" ht="16.5" spans="1:18">
      <c r="A132" s="29"/>
      <c r="B132" s="30"/>
      <c r="R132" s="31"/>
    </row>
    <row r="133" ht="16.5" spans="1:18">
      <c r="A133" s="29"/>
      <c r="B133" s="30"/>
      <c r="R133" s="31"/>
    </row>
    <row r="134" ht="16.5" spans="1:18">
      <c r="A134" s="29"/>
      <c r="B134" s="30"/>
      <c r="R134" s="31"/>
    </row>
    <row r="135" ht="16.5" spans="1:18">
      <c r="A135" s="29"/>
      <c r="B135" s="30"/>
      <c r="R135" s="31"/>
    </row>
    <row r="136" ht="16.5" spans="1:18">
      <c r="A136" s="29"/>
      <c r="B136" s="30"/>
      <c r="R136" s="31"/>
    </row>
    <row r="137" ht="16.5" spans="1:18">
      <c r="A137" s="29"/>
      <c r="B137" s="30"/>
      <c r="R137" s="31"/>
    </row>
    <row r="138" ht="16.5" spans="1:18">
      <c r="A138" s="29"/>
      <c r="B138" s="30"/>
      <c r="R138" s="31"/>
    </row>
    <row r="139" ht="16.5" spans="1:18">
      <c r="A139" s="29"/>
      <c r="B139" s="30"/>
      <c r="R139" s="31"/>
    </row>
    <row r="140" ht="16.5" spans="1:18">
      <c r="A140" s="29"/>
      <c r="B140" s="30"/>
      <c r="R140" s="31"/>
    </row>
    <row r="141" ht="16.5" spans="1:18">
      <c r="A141" s="29"/>
      <c r="B141" s="30"/>
      <c r="R141" s="31"/>
    </row>
    <row r="142" ht="16.5" spans="1:18">
      <c r="A142" s="29"/>
      <c r="B142" s="30"/>
      <c r="R142" s="31"/>
    </row>
    <row r="143" ht="16.5" spans="1:18">
      <c r="A143" s="29"/>
      <c r="B143" s="30"/>
      <c r="R143" s="31"/>
    </row>
    <row r="144" ht="16.5" spans="1:18">
      <c r="A144" s="29"/>
      <c r="B144" s="30"/>
      <c r="R144" s="31"/>
    </row>
    <row r="145" ht="16.5" spans="1:18">
      <c r="A145" s="29"/>
      <c r="B145" s="30"/>
      <c r="R145" s="31"/>
    </row>
    <row r="146" ht="16.5" spans="1:18">
      <c r="A146" s="29"/>
      <c r="B146" s="30"/>
      <c r="R146" s="31"/>
    </row>
    <row r="147" ht="16.5" spans="1:18">
      <c r="A147" s="29"/>
      <c r="B147" s="30"/>
      <c r="R147" s="31"/>
    </row>
    <row r="148" ht="16.5" spans="1:18">
      <c r="A148" s="29"/>
      <c r="B148" s="30"/>
      <c r="R148" s="31"/>
    </row>
    <row r="149" ht="16.5" spans="1:18">
      <c r="A149" s="29"/>
      <c r="B149" s="30"/>
      <c r="R149" s="31"/>
    </row>
    <row r="150" ht="16.5" spans="1:18">
      <c r="A150" s="29"/>
      <c r="B150" s="30"/>
      <c r="R150" s="31"/>
    </row>
    <row r="151" ht="16.5" spans="1:18">
      <c r="A151" s="29"/>
      <c r="B151" s="30"/>
      <c r="R151" s="31"/>
    </row>
    <row r="152" ht="16.5" spans="1:18">
      <c r="A152" s="29"/>
      <c r="B152" s="30"/>
      <c r="R152" s="31"/>
    </row>
    <row r="153" ht="16.5" spans="1:18">
      <c r="A153" s="29"/>
      <c r="B153" s="30"/>
      <c r="R153" s="31"/>
    </row>
    <row r="154" ht="16.5" spans="1:18">
      <c r="A154" s="29"/>
      <c r="B154" s="30"/>
      <c r="R154" s="31"/>
    </row>
    <row r="155" ht="16.5" spans="1:18">
      <c r="A155" s="29"/>
      <c r="B155" s="30"/>
      <c r="R155" s="31"/>
    </row>
    <row r="156" ht="16.5" spans="1:18">
      <c r="A156" s="29"/>
      <c r="B156" s="30"/>
      <c r="R156" s="31"/>
    </row>
    <row r="157" ht="16.5" spans="1:18">
      <c r="A157" s="29"/>
      <c r="B157" s="30"/>
      <c r="R157" s="31"/>
    </row>
    <row r="158" ht="16.5" spans="1:18">
      <c r="A158" s="29"/>
      <c r="B158" s="30"/>
      <c r="R158" s="31"/>
    </row>
    <row r="159" ht="16.5" spans="1:18">
      <c r="A159" s="29"/>
      <c r="B159" s="30"/>
      <c r="R159" s="31"/>
    </row>
    <row r="160" ht="16.5" spans="1:18">
      <c r="A160" s="29"/>
      <c r="B160" s="30"/>
      <c r="R160" s="31"/>
    </row>
    <row r="161" ht="16.5" spans="1:18">
      <c r="A161" s="29"/>
      <c r="B161" s="30"/>
      <c r="R161" s="31"/>
    </row>
    <row r="162" ht="16.5" spans="1:18">
      <c r="A162" s="29"/>
      <c r="B162" s="30"/>
      <c r="R162" s="31"/>
    </row>
    <row r="163" ht="16.5" spans="1:18">
      <c r="A163" s="29"/>
      <c r="B163" s="30"/>
      <c r="R163" s="31"/>
    </row>
    <row r="164" ht="16.5" spans="1:18">
      <c r="A164" s="29"/>
      <c r="B164" s="30"/>
      <c r="R164" s="31"/>
    </row>
    <row r="165" ht="16.5" spans="1:18">
      <c r="A165" s="29"/>
      <c r="B165" s="30"/>
      <c r="R165" s="31"/>
    </row>
    <row r="166" ht="16.5" spans="1:18">
      <c r="A166" s="29"/>
      <c r="B166" s="30"/>
      <c r="R166" s="31"/>
    </row>
    <row r="167" ht="16.5" spans="1:18">
      <c r="A167" s="29"/>
      <c r="B167" s="30"/>
      <c r="R167" s="31"/>
    </row>
    <row r="168" ht="16.5" spans="1:18">
      <c r="A168" s="29"/>
      <c r="B168" s="30"/>
      <c r="R168" s="31"/>
    </row>
    <row r="169" ht="16.5" spans="1:18">
      <c r="A169" s="29"/>
      <c r="B169" s="30"/>
      <c r="R169" s="31"/>
    </row>
    <row r="170" ht="16.5" spans="1:18">
      <c r="A170" s="29"/>
      <c r="B170" s="30"/>
      <c r="R170" s="31"/>
    </row>
    <row r="171" ht="16.5" spans="1:18">
      <c r="A171" s="29"/>
      <c r="B171" s="30"/>
      <c r="R171" s="31"/>
    </row>
    <row r="172" ht="16.5" spans="1:18">
      <c r="A172" s="29"/>
      <c r="B172" s="30"/>
      <c r="R172" s="31"/>
    </row>
    <row r="173" ht="16.5" spans="1:18">
      <c r="A173" s="29"/>
      <c r="B173" s="30"/>
      <c r="R173" s="31"/>
    </row>
    <row r="174" ht="16.5" spans="1:18">
      <c r="A174" s="29"/>
      <c r="B174" s="30"/>
      <c r="R174" s="31"/>
    </row>
    <row r="175" ht="16.5" spans="1:18">
      <c r="A175" s="29"/>
      <c r="B175" s="30"/>
      <c r="R175" s="31"/>
    </row>
    <row r="176" ht="16.5" spans="1:18">
      <c r="A176" s="29"/>
      <c r="B176" s="30"/>
      <c r="R176" s="31"/>
    </row>
    <row r="177" ht="16.5" spans="1:18">
      <c r="A177" s="29"/>
      <c r="B177" s="30"/>
      <c r="R177" s="31"/>
    </row>
    <row r="178" ht="16.5" spans="1:18">
      <c r="A178" s="29"/>
      <c r="B178" s="30"/>
      <c r="R178" s="31"/>
    </row>
    <row r="179" ht="16.5" spans="1:18">
      <c r="A179" s="29"/>
      <c r="B179" s="30"/>
      <c r="R179" s="31"/>
    </row>
    <row r="180" ht="16.5" spans="1:18">
      <c r="A180" s="29"/>
      <c r="B180" s="30"/>
      <c r="R180" s="31"/>
    </row>
    <row r="181" ht="16.5" spans="1:18">
      <c r="A181" s="32"/>
      <c r="B181" s="30"/>
      <c r="R181" s="31"/>
    </row>
  </sheetData>
  <autoFilter xmlns:etc="http://www.wps.cn/officeDocument/2017/etCustomData" ref="A1:R16" etc:filterBottomFollowUsedRange="0">
    <extLst/>
  </autoFilter>
  <conditionalFormatting sqref="F2:F17">
    <cfRule type="cellIs" dxfId="0" priority="2" operator="equal">
      <formula>"运行"</formula>
    </cfRule>
    <cfRule type="cellIs" dxfId="2" priority="3" operator="equal">
      <formula>"待机"</formula>
    </cfRule>
    <cfRule type="cellIs" dxfId="3" priority="4" operator="equal">
      <formula>"调模"</formula>
    </cfRule>
    <cfRule type="cellIs" dxfId="1" priority="5" operator="equal">
      <formula>"故障停机"</formula>
    </cfRule>
    <cfRule type="cellIs" dxfId="4" priority="6" operator="equal">
      <formula>"计划保养"</formula>
    </cfRule>
  </conditionalFormatting>
  <conditionalFormatting sqref="P2:P17">
    <cfRule type="cellIs" dxfId="5" priority="7" operator="greaterThanOrEqual">
      <formula>0.75</formula>
    </cfRule>
    <cfRule type="cellIs" dxfId="6" priority="8" operator="lessThan">
      <formula>0.6</formula>
    </cfRule>
  </conditionalFormatting>
  <conditionalFormatting sqref="Q2:Q17">
    <cfRule type="cellIs" dxfId="0" priority="9" operator="greaterThanOrEqual">
      <formula>1</formula>
    </cfRule>
    <cfRule type="cellIs" dxfId="1" priority="10" operator="lessThan">
      <formula>0.8</formula>
    </cfRule>
  </conditionalFormatting>
  <dataValidations count="1">
    <dataValidation type="list" allowBlank="1" sqref="F2:F15 F16:F17">
      <formula1>"运行,待机,调模,故障停机,计划保养"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pane ySplit="1" topLeftCell="A2" activePane="bottomLeft" state="frozen"/>
      <selection/>
      <selection pane="bottomLeft" activeCell="I26" sqref="I26"/>
    </sheetView>
  </sheetViews>
  <sheetFormatPr defaultColWidth="8.6" defaultRowHeight="15"/>
  <cols>
    <col min="1" max="1" width="11" customWidth="1"/>
    <col min="2" max="2" width="14" customWidth="1"/>
    <col min="3" max="3" width="10" customWidth="1"/>
    <col min="4" max="4" width="14" customWidth="1"/>
    <col min="5" max="5" width="17.5714285714286" customWidth="1"/>
    <col min="6" max="6" width="10" customWidth="1"/>
    <col min="7" max="8" width="11" customWidth="1"/>
    <col min="9" max="9" width="10" customWidth="1"/>
    <col min="10" max="10" width="12" customWidth="1"/>
    <col min="11" max="12" width="13" customWidth="1"/>
    <col min="13" max="13" width="9" customWidth="1"/>
    <col min="14" max="14" width="14" customWidth="1"/>
  </cols>
  <sheetData>
    <row r="1" ht="25.5" customHeight="1" spans="1:14">
      <c r="A1" s="6" t="s">
        <v>118</v>
      </c>
      <c r="B1" s="6" t="s">
        <v>119</v>
      </c>
      <c r="C1" s="6" t="s">
        <v>120</v>
      </c>
      <c r="D1" s="6" t="s">
        <v>21</v>
      </c>
      <c r="E1" s="6" t="s">
        <v>22</v>
      </c>
      <c r="F1" s="6" t="s">
        <v>121</v>
      </c>
      <c r="G1" s="6" t="s">
        <v>122</v>
      </c>
      <c r="H1" s="6" t="s">
        <v>123</v>
      </c>
      <c r="I1" s="6" t="s">
        <v>124</v>
      </c>
      <c r="J1" s="6" t="s">
        <v>125</v>
      </c>
      <c r="K1" s="6" t="s">
        <v>126</v>
      </c>
      <c r="L1" s="6" t="s">
        <v>127</v>
      </c>
      <c r="M1" s="6" t="s">
        <v>75</v>
      </c>
      <c r="N1" s="6" t="s">
        <v>128</v>
      </c>
    </row>
    <row r="2" ht="16.5" spans="1:14">
      <c r="A2" s="8" t="s">
        <v>129</v>
      </c>
      <c r="B2" s="2" t="s">
        <v>130</v>
      </c>
      <c r="C2" s="8" t="s">
        <v>29</v>
      </c>
      <c r="D2" s="18" t="str">
        <f>IF($C2="","",IFERROR(VLOOKUP($C2,设备状态!$A:$C,3,0),""))</f>
        <v>一号冲压车间</v>
      </c>
      <c r="E2" s="20" t="s">
        <v>131</v>
      </c>
      <c r="F2" s="7" t="s">
        <v>132</v>
      </c>
      <c r="G2" s="11">
        <v>182400</v>
      </c>
      <c r="H2" s="11">
        <v>200000</v>
      </c>
      <c r="I2" s="12">
        <f t="shared" ref="I2:I19" si="0">IF(OR($G2="",$H2="",$H2=0),"",$G2/$H2)</f>
        <v>0.912</v>
      </c>
      <c r="J2" s="11">
        <f t="shared" ref="J2:J19" si="1">IF(OR($G2="",$H2=""),"",MAX($H2-$G2,0))</f>
        <v>17600</v>
      </c>
      <c r="K2" s="21">
        <v>46221</v>
      </c>
      <c r="L2" s="21">
        <v>46254</v>
      </c>
      <c r="M2" s="7" t="s">
        <v>79</v>
      </c>
      <c r="N2" s="18" t="str">
        <f>IF($F2="","",IF(AND($F2="在用",$I2&lt;&gt;""),IF($I2&gt;=1,"超寿命待研磨",IF($I2&gt;=基础配置!$B$4,"寿命预警",$F2)),$F2))</f>
        <v>寿命预警</v>
      </c>
    </row>
    <row r="3" ht="16.5" spans="1:14">
      <c r="A3" s="8" t="s">
        <v>133</v>
      </c>
      <c r="B3" s="2" t="s">
        <v>134</v>
      </c>
      <c r="C3" s="8" t="s">
        <v>31</v>
      </c>
      <c r="D3" s="18" t="str">
        <f>IF($C3="","",IFERROR(VLOOKUP($C3,设备状态!$A:$C,3,0),""))</f>
        <v>一号冲压车间</v>
      </c>
      <c r="E3" s="20" t="s">
        <v>135</v>
      </c>
      <c r="F3" s="7" t="s">
        <v>132</v>
      </c>
      <c r="G3" s="11">
        <v>96400</v>
      </c>
      <c r="H3" s="11">
        <v>150000</v>
      </c>
      <c r="I3" s="12">
        <f t="shared" si="0"/>
        <v>0.642666666666667</v>
      </c>
      <c r="J3" s="11">
        <f t="shared" si="1"/>
        <v>53600</v>
      </c>
      <c r="K3" s="21">
        <v>46239</v>
      </c>
      <c r="L3" s="21">
        <v>46267</v>
      </c>
      <c r="M3" s="7" t="s">
        <v>81</v>
      </c>
      <c r="N3" s="18" t="str">
        <f>IF($F3="","",IF(AND($F3="在用",$I3&lt;&gt;""),IF($I3&gt;=1,"超寿命待研磨",IF($I3&gt;=基础配置!$B$4,"寿命预警",$F3)),$F3))</f>
        <v>在用</v>
      </c>
    </row>
    <row r="4" ht="16.5" spans="1:14">
      <c r="A4" s="8" t="s">
        <v>136</v>
      </c>
      <c r="B4" s="2" t="s">
        <v>137</v>
      </c>
      <c r="C4" s="8" t="s">
        <v>33</v>
      </c>
      <c r="D4" s="18" t="str">
        <f>IF($C4="","",IFERROR(VLOOKUP($C4,设备状态!$A:$C,3,0),""))</f>
        <v>一号冲压车间</v>
      </c>
      <c r="E4" s="20" t="s">
        <v>138</v>
      </c>
      <c r="F4" s="7" t="s">
        <v>132</v>
      </c>
      <c r="G4" s="11">
        <v>148200</v>
      </c>
      <c r="H4" s="11">
        <v>150000</v>
      </c>
      <c r="I4" s="12">
        <f t="shared" si="0"/>
        <v>0.988</v>
      </c>
      <c r="J4" s="11">
        <f t="shared" si="1"/>
        <v>1800</v>
      </c>
      <c r="K4" s="21">
        <v>46201</v>
      </c>
      <c r="L4" s="21">
        <v>46245</v>
      </c>
      <c r="M4" s="7" t="s">
        <v>84</v>
      </c>
      <c r="N4" s="18" t="str">
        <f>IF($F4="","",IF(AND($F4="在用",$I4&lt;&gt;""),IF($I4&gt;=1,"超寿命待研磨",IF($I4&gt;=基础配置!$B$4,"寿命预警",$F4)),$F4))</f>
        <v>寿命预警</v>
      </c>
    </row>
    <row r="5" ht="16.5" spans="1:14">
      <c r="A5" s="8" t="s">
        <v>139</v>
      </c>
      <c r="B5" s="2" t="s">
        <v>140</v>
      </c>
      <c r="C5" s="8" t="s">
        <v>36</v>
      </c>
      <c r="D5" s="18" t="str">
        <f>IF($C5="","",IFERROR(VLOOKUP($C5,设备状态!$A:$C,3,0),""))</f>
        <v>一号冲压车间</v>
      </c>
      <c r="E5" s="20" t="s">
        <v>131</v>
      </c>
      <c r="F5" s="7" t="s">
        <v>132</v>
      </c>
      <c r="G5" s="11">
        <v>127600</v>
      </c>
      <c r="H5" s="11">
        <v>180000</v>
      </c>
      <c r="I5" s="12">
        <f t="shared" si="0"/>
        <v>0.708888888888889</v>
      </c>
      <c r="J5" s="11">
        <f t="shared" si="1"/>
        <v>52400</v>
      </c>
      <c r="K5" s="21">
        <v>46233</v>
      </c>
      <c r="L5" s="21">
        <v>46260</v>
      </c>
      <c r="M5" s="7" t="s">
        <v>87</v>
      </c>
      <c r="N5" s="18" t="str">
        <f>IF($F5="","",IF(AND($F5="在用",$I5&lt;&gt;""),IF($I5&gt;=1,"超寿命待研磨",IF($I5&gt;=基础配置!$B$4,"寿命预警",$F5)),$F5))</f>
        <v>在用</v>
      </c>
    </row>
    <row r="6" ht="16.5" spans="1:14">
      <c r="A6" s="8" t="s">
        <v>141</v>
      </c>
      <c r="B6" s="2" t="s">
        <v>142</v>
      </c>
      <c r="C6" s="8" t="s">
        <v>39</v>
      </c>
      <c r="D6" s="18" t="str">
        <f>IF($C6="","",IFERROR(VLOOKUP($C6,设备状态!$A:$C,3,0),""))</f>
        <v>一号冲压车间</v>
      </c>
      <c r="E6" s="20" t="s">
        <v>135</v>
      </c>
      <c r="F6" s="7" t="s">
        <v>132</v>
      </c>
      <c r="G6" s="11">
        <v>62800</v>
      </c>
      <c r="H6" s="11">
        <v>120000</v>
      </c>
      <c r="I6" s="12">
        <f t="shared" si="0"/>
        <v>0.523333333333333</v>
      </c>
      <c r="J6" s="11">
        <f t="shared" si="1"/>
        <v>57200</v>
      </c>
      <c r="K6" s="21">
        <v>46256</v>
      </c>
      <c r="L6" s="21">
        <v>46275</v>
      </c>
      <c r="M6" s="7" t="s">
        <v>90</v>
      </c>
      <c r="N6" s="18" t="str">
        <f>IF($F6="","",IF(AND($F6="在用",$I6&lt;&gt;""),IF($I6&gt;=1,"超寿命待研磨",IF($I6&gt;=基础配置!$B$4,"寿命预警",$F6)),$F6))</f>
        <v>在用</v>
      </c>
    </row>
    <row r="7" ht="16.5" spans="1:14">
      <c r="A7" s="8" t="s">
        <v>143</v>
      </c>
      <c r="B7" s="2" t="s">
        <v>144</v>
      </c>
      <c r="C7" s="8" t="s">
        <v>33</v>
      </c>
      <c r="D7" s="18" t="str">
        <f>IF($C7="","",IFERROR(VLOOKUP($C7,设备状态!$A:$C,3,0),""))</f>
        <v>一号冲压车间</v>
      </c>
      <c r="E7" s="20" t="s">
        <v>131</v>
      </c>
      <c r="F7" s="7" t="s">
        <v>145</v>
      </c>
      <c r="G7" s="11">
        <v>41200</v>
      </c>
      <c r="H7" s="11">
        <v>100000</v>
      </c>
      <c r="I7" s="12">
        <f t="shared" si="0"/>
        <v>0.412</v>
      </c>
      <c r="J7" s="11">
        <f t="shared" si="1"/>
        <v>58800</v>
      </c>
      <c r="K7" s="21">
        <v>46248</v>
      </c>
      <c r="L7" s="21">
        <v>46266</v>
      </c>
      <c r="M7" s="7" t="s">
        <v>84</v>
      </c>
      <c r="N7" s="18" t="str">
        <f>IF($F7="","",IF(AND($F7="在用",$I7&lt;&gt;""),IF($I7&gt;=1,"超寿命待研磨",IF($I7&gt;=基础配置!$B$4,"寿命预警",$F7)),$F7))</f>
        <v>待用</v>
      </c>
    </row>
    <row r="8" ht="16.5" spans="1:14">
      <c r="A8" s="8" t="s">
        <v>146</v>
      </c>
      <c r="B8" s="2" t="s">
        <v>147</v>
      </c>
      <c r="C8" s="8" t="s">
        <v>41</v>
      </c>
      <c r="D8" s="18" t="str">
        <f>IF($C8="","",IFERROR(VLOOKUP($C8,设备状态!$A:$C,3,0),""))</f>
        <v>二号冲压车间</v>
      </c>
      <c r="E8" s="20" t="s">
        <v>138</v>
      </c>
      <c r="F8" s="7" t="s">
        <v>132</v>
      </c>
      <c r="G8" s="11">
        <v>232600</v>
      </c>
      <c r="H8" s="11">
        <v>250000</v>
      </c>
      <c r="I8" s="12">
        <f t="shared" si="0"/>
        <v>0.9304</v>
      </c>
      <c r="J8" s="11">
        <f t="shared" si="1"/>
        <v>17400</v>
      </c>
      <c r="K8" s="21">
        <v>46214</v>
      </c>
      <c r="L8" s="21">
        <v>46228</v>
      </c>
      <c r="M8" s="7" t="s">
        <v>94</v>
      </c>
      <c r="N8" s="18" t="str">
        <f>IF($F8="","",IF(AND($F8="在用",$I8&lt;&gt;""),IF($I8&gt;=1,"超寿命待研磨",IF($I8&gt;=基础配置!$B$4,"寿命预警",$F8)),$F8))</f>
        <v>寿命预警</v>
      </c>
    </row>
    <row r="9" ht="16.5" spans="1:14">
      <c r="A9" s="8" t="s">
        <v>148</v>
      </c>
      <c r="B9" s="2" t="s">
        <v>149</v>
      </c>
      <c r="C9" s="8" t="s">
        <v>43</v>
      </c>
      <c r="D9" s="18" t="str">
        <f>IF($C9="","",IFERROR(VLOOKUP($C9,设备状态!$A:$C,3,0),""))</f>
        <v>二号冲压车间</v>
      </c>
      <c r="E9" s="20" t="s">
        <v>150</v>
      </c>
      <c r="F9" s="7" t="s">
        <v>132</v>
      </c>
      <c r="G9" s="11">
        <v>38400</v>
      </c>
      <c r="H9" s="11">
        <v>200000</v>
      </c>
      <c r="I9" s="12">
        <f t="shared" si="0"/>
        <v>0.192</v>
      </c>
      <c r="J9" s="11">
        <f t="shared" si="1"/>
        <v>161600</v>
      </c>
      <c r="K9" s="21">
        <v>46262</v>
      </c>
      <c r="L9" s="21">
        <v>46280</v>
      </c>
      <c r="M9" s="7" t="s">
        <v>96</v>
      </c>
      <c r="N9" s="18" t="str">
        <f>IF($F9="","",IF(AND($F9="在用",$I9&lt;&gt;""),IF($I9&gt;=1,"超寿命待研磨",IF($I9&gt;=基础配置!$B$4,"寿命预警",$F9)),$F9))</f>
        <v>在用</v>
      </c>
    </row>
    <row r="10" ht="16.5" spans="1:14">
      <c r="A10" s="8" t="s">
        <v>151</v>
      </c>
      <c r="B10" s="2" t="s">
        <v>152</v>
      </c>
      <c r="C10" s="8" t="s">
        <v>45</v>
      </c>
      <c r="D10" s="18" t="str">
        <f>IF($C10="","",IFERROR(VLOOKUP($C10,设备状态!$A:$C,3,0),""))</f>
        <v>二号冲压车间</v>
      </c>
      <c r="E10" s="20" t="s">
        <v>153</v>
      </c>
      <c r="F10" s="7" t="s">
        <v>145</v>
      </c>
      <c r="G10" s="11">
        <v>87600</v>
      </c>
      <c r="H10" s="11">
        <v>180000</v>
      </c>
      <c r="I10" s="12">
        <f t="shared" si="0"/>
        <v>0.486666666666667</v>
      </c>
      <c r="J10" s="11">
        <f t="shared" si="1"/>
        <v>92400</v>
      </c>
      <c r="K10" s="21">
        <v>46208</v>
      </c>
      <c r="L10" s="21">
        <v>46242</v>
      </c>
      <c r="M10" s="7" t="s">
        <v>99</v>
      </c>
      <c r="N10" s="18" t="str">
        <f>IF($F10="","",IF(AND($F10="在用",$I10&lt;&gt;""),IF($I10&gt;=1,"超寿命待研磨",IF($I10&gt;=基础配置!$B$4,"寿命预警",$F10)),$F10))</f>
        <v>待用</v>
      </c>
    </row>
    <row r="11" ht="16.5" spans="1:14">
      <c r="A11" s="8" t="s">
        <v>154</v>
      </c>
      <c r="B11" s="2" t="s">
        <v>155</v>
      </c>
      <c r="C11" s="8" t="s">
        <v>48</v>
      </c>
      <c r="D11" s="18" t="str">
        <f>IF($C11="","",IFERROR(VLOOKUP($C11,设备状态!$A:$C,3,0),""))</f>
        <v>二号冲压车间</v>
      </c>
      <c r="E11" s="20" t="s">
        <v>138</v>
      </c>
      <c r="F11" s="7" t="s">
        <v>132</v>
      </c>
      <c r="G11" s="11">
        <v>176900</v>
      </c>
      <c r="H11" s="11">
        <v>180000</v>
      </c>
      <c r="I11" s="12">
        <f t="shared" si="0"/>
        <v>0.982777777777778</v>
      </c>
      <c r="J11" s="11">
        <f t="shared" si="1"/>
        <v>3100</v>
      </c>
      <c r="K11" s="21">
        <v>46193</v>
      </c>
      <c r="L11" s="21">
        <v>46249</v>
      </c>
      <c r="M11" s="7" t="s">
        <v>101</v>
      </c>
      <c r="N11" s="18" t="str">
        <f>IF($F11="","",IF(AND($F11="在用",$I11&lt;&gt;""),IF($I11&gt;=1,"超寿命待研磨",IF($I11&gt;=基础配置!$B$4,"寿命预警",$F11)),$F11))</f>
        <v>寿命预警</v>
      </c>
    </row>
    <row r="12" ht="16.5" spans="1:14">
      <c r="A12" s="8" t="s">
        <v>156</v>
      </c>
      <c r="B12" s="2" t="s">
        <v>157</v>
      </c>
      <c r="C12" s="8" t="s">
        <v>50</v>
      </c>
      <c r="D12" s="18" t="str">
        <f>IF($C12="","",IFERROR(VLOOKUP($C12,设备状态!$A:$C,3,0),""))</f>
        <v>二号冲压车间</v>
      </c>
      <c r="E12" s="20" t="s">
        <v>150</v>
      </c>
      <c r="F12" s="7" t="s">
        <v>158</v>
      </c>
      <c r="G12" s="11">
        <v>59600</v>
      </c>
      <c r="H12" s="11">
        <v>90000</v>
      </c>
      <c r="I12" s="12">
        <f t="shared" si="0"/>
        <v>0.662222222222222</v>
      </c>
      <c r="J12" s="11">
        <f t="shared" si="1"/>
        <v>30400</v>
      </c>
      <c r="K12" s="21">
        <v>46293</v>
      </c>
      <c r="L12" s="21">
        <v>46264</v>
      </c>
      <c r="M12" s="7" t="s">
        <v>104</v>
      </c>
      <c r="N12" s="18" t="str">
        <f>IF($F12="","",IF(AND($F12="在用",$I12&lt;&gt;""),IF($I12&gt;=1,"超寿命待研磨",IF($I12&gt;=基础配置!$B$4,"寿命预警",$F12)),$F12))</f>
        <v>研磨中</v>
      </c>
    </row>
    <row r="13" ht="16.5" spans="1:14">
      <c r="A13" s="8" t="s">
        <v>159</v>
      </c>
      <c r="B13" s="2" t="s">
        <v>160</v>
      </c>
      <c r="C13" s="8" t="s">
        <v>50</v>
      </c>
      <c r="D13" s="18" t="str">
        <f>IF($C13="","",IFERROR(VLOOKUP($C13,设备状态!$A:$C,3,0),""))</f>
        <v>二号冲压车间</v>
      </c>
      <c r="E13" s="20" t="s">
        <v>153</v>
      </c>
      <c r="F13" s="7" t="s">
        <v>161</v>
      </c>
      <c r="G13" s="11">
        <v>91300</v>
      </c>
      <c r="H13" s="11">
        <v>150000</v>
      </c>
      <c r="I13" s="12">
        <f t="shared" si="0"/>
        <v>0.608666666666667</v>
      </c>
      <c r="J13" s="11">
        <f t="shared" si="1"/>
        <v>58700</v>
      </c>
      <c r="K13" s="21">
        <v>46270</v>
      </c>
      <c r="L13" s="21">
        <v>46222</v>
      </c>
      <c r="M13" s="7" t="s">
        <v>104</v>
      </c>
      <c r="N13" s="18" t="str">
        <f>IF($F13="","",IF(AND($F13="在用",$I13&lt;&gt;""),IF($I13&gt;=1,"超寿命待研磨",IF($I13&gt;=基础配置!$B$4,"寿命预警",$F13)),$F13))</f>
        <v>维修复用</v>
      </c>
    </row>
    <row r="14" ht="16.5" spans="1:14">
      <c r="A14" s="8" t="s">
        <v>162</v>
      </c>
      <c r="B14" s="2" t="s">
        <v>163</v>
      </c>
      <c r="C14" s="8" t="s">
        <v>53</v>
      </c>
      <c r="D14" s="18" t="str">
        <f>IF($C14="","",IFERROR(VLOOKUP($C14,设备状态!$A:$C,3,0),""))</f>
        <v>三号焊接车间</v>
      </c>
      <c r="E14" s="20" t="s">
        <v>164</v>
      </c>
      <c r="F14" s="7" t="s">
        <v>132</v>
      </c>
      <c r="G14" s="11">
        <v>69300</v>
      </c>
      <c r="H14" s="11">
        <v>160000</v>
      </c>
      <c r="I14" s="12">
        <f t="shared" si="0"/>
        <v>0.433125</v>
      </c>
      <c r="J14" s="11">
        <f t="shared" si="1"/>
        <v>90700</v>
      </c>
      <c r="K14" s="21">
        <v>46252</v>
      </c>
      <c r="L14" s="21">
        <v>46273</v>
      </c>
      <c r="M14" s="7" t="s">
        <v>107</v>
      </c>
      <c r="N14" s="18" t="str">
        <f>IF($F14="","",IF(AND($F14="在用",$I14&lt;&gt;""),IF($I14&gt;=1,"超寿命待研磨",IF($I14&gt;=基础配置!$B$4,"寿命预警",$F14)),$F14))</f>
        <v>在用</v>
      </c>
    </row>
    <row r="15" ht="16.5" spans="1:14">
      <c r="A15" s="8" t="s">
        <v>165</v>
      </c>
      <c r="B15" s="2" t="s">
        <v>166</v>
      </c>
      <c r="C15" s="8" t="s">
        <v>55</v>
      </c>
      <c r="D15" s="18" t="str">
        <f>IF($C15="","",IFERROR(VLOOKUP($C15,设备状态!$A:$C,3,0),""))</f>
        <v>三号焊接车间</v>
      </c>
      <c r="E15" s="20" t="s">
        <v>164</v>
      </c>
      <c r="F15" s="7" t="s">
        <v>132</v>
      </c>
      <c r="G15" s="11">
        <v>142700</v>
      </c>
      <c r="H15" s="11">
        <v>200000</v>
      </c>
      <c r="I15" s="12">
        <f t="shared" si="0"/>
        <v>0.7135</v>
      </c>
      <c r="J15" s="11">
        <f t="shared" si="1"/>
        <v>57300</v>
      </c>
      <c r="K15" s="21">
        <v>46225</v>
      </c>
      <c r="L15" s="21">
        <v>46252</v>
      </c>
      <c r="M15" s="7" t="s">
        <v>109</v>
      </c>
      <c r="N15" s="18" t="str">
        <f>IF($F15="","",IF(AND($F15="在用",$I15&lt;&gt;""),IF($I15&gt;=1,"超寿命待研磨",IF($I15&gt;=基础配置!$B$4,"寿命预警",$F15)),$F15))</f>
        <v>在用</v>
      </c>
    </row>
    <row r="16" ht="16.5" spans="1:14">
      <c r="A16" s="8" t="s">
        <v>167</v>
      </c>
      <c r="B16" s="2" t="s">
        <v>168</v>
      </c>
      <c r="C16" s="8" t="s">
        <v>57</v>
      </c>
      <c r="D16" s="18" t="str">
        <f>IF($C16="","",IFERROR(VLOOKUP($C16,设备状态!$A:$C,3,0),""))</f>
        <v>三号焊接车间</v>
      </c>
      <c r="E16" s="20" t="s">
        <v>138</v>
      </c>
      <c r="F16" s="7" t="s">
        <v>132</v>
      </c>
      <c r="G16" s="11">
        <v>118500</v>
      </c>
      <c r="H16" s="11">
        <v>160000</v>
      </c>
      <c r="I16" s="12">
        <f t="shared" si="0"/>
        <v>0.740625</v>
      </c>
      <c r="J16" s="11">
        <f t="shared" si="1"/>
        <v>41500</v>
      </c>
      <c r="K16" s="21">
        <v>46235</v>
      </c>
      <c r="L16" s="21">
        <v>46270</v>
      </c>
      <c r="M16" s="7" t="s">
        <v>111</v>
      </c>
      <c r="N16" s="18" t="str">
        <f>IF($F16="","",IF(AND($F16="在用",$I16&lt;&gt;""),IF($I16&gt;=1,"超寿命待研磨",IF($I16&gt;=基础配置!$B$4,"寿命预警",$F16)),$F16))</f>
        <v>在用</v>
      </c>
    </row>
    <row r="17" ht="16.5" spans="1:14">
      <c r="A17" s="8" t="s">
        <v>169</v>
      </c>
      <c r="B17" s="2" t="s">
        <v>170</v>
      </c>
      <c r="C17" s="8" t="s">
        <v>59</v>
      </c>
      <c r="D17" s="18" t="str">
        <f>IF($C17="","",IFERROR(VLOOKUP($C17,设备状态!$A:$C,3,0),""))</f>
        <v>三号焊接车间</v>
      </c>
      <c r="E17" s="20" t="s">
        <v>171</v>
      </c>
      <c r="F17" s="7" t="s">
        <v>145</v>
      </c>
      <c r="G17" s="11">
        <v>52600</v>
      </c>
      <c r="H17" s="11">
        <v>120000</v>
      </c>
      <c r="I17" s="12">
        <f t="shared" si="0"/>
        <v>0.438333333333333</v>
      </c>
      <c r="J17" s="11">
        <f t="shared" si="1"/>
        <v>67400</v>
      </c>
      <c r="K17" s="21">
        <v>46244</v>
      </c>
      <c r="L17" s="21">
        <v>46277</v>
      </c>
      <c r="M17" s="7" t="s">
        <v>113</v>
      </c>
      <c r="N17" s="18" t="str">
        <f>IF($F17="","",IF(AND($F17="在用",$I17&lt;&gt;""),IF($I17&gt;=1,"超寿命待研磨",IF($I17&gt;=基础配置!$B$4,"寿命预警",$F17)),$F17))</f>
        <v>待用</v>
      </c>
    </row>
    <row r="18" ht="16.5" spans="1:14">
      <c r="A18" s="8" t="s">
        <v>172</v>
      </c>
      <c r="B18" s="2" t="s">
        <v>173</v>
      </c>
      <c r="C18" s="8" t="s">
        <v>61</v>
      </c>
      <c r="D18" s="18" t="str">
        <f>IF($C18="","",IFERROR(VLOOKUP($C18,设备状态!$A:$C,3,0),""))</f>
        <v>三号焊接车间</v>
      </c>
      <c r="E18" s="20" t="s">
        <v>164</v>
      </c>
      <c r="F18" s="7" t="s">
        <v>132</v>
      </c>
      <c r="G18" s="11">
        <v>188400</v>
      </c>
      <c r="H18" s="11">
        <v>200000</v>
      </c>
      <c r="I18" s="12">
        <f t="shared" si="0"/>
        <v>0.942</v>
      </c>
      <c r="J18" s="11">
        <f t="shared" si="1"/>
        <v>11600</v>
      </c>
      <c r="K18" s="21">
        <v>46188</v>
      </c>
      <c r="L18" s="21">
        <v>46236</v>
      </c>
      <c r="M18" s="7" t="s">
        <v>115</v>
      </c>
      <c r="N18" s="18" t="str">
        <f>IF($F18="","",IF(AND($F18="在用",$I18&lt;&gt;""),IF($I18&gt;=1,"超寿命待研磨",IF($I18&gt;=基础配置!$B$4,"寿命预警",$F18)),$F18))</f>
        <v>寿命预警</v>
      </c>
    </row>
    <row r="19" ht="16.5" spans="1:14">
      <c r="A19" s="8" t="s">
        <v>174</v>
      </c>
      <c r="B19" s="2" t="s">
        <v>175</v>
      </c>
      <c r="C19" s="8" t="s">
        <v>57</v>
      </c>
      <c r="D19" s="18" t="str">
        <f>IF($C19="","",IFERROR(VLOOKUP($C19,设备状态!$A:$C,3,0),""))</f>
        <v>三号焊接车间</v>
      </c>
      <c r="E19" s="20" t="s">
        <v>171</v>
      </c>
      <c r="F19" s="7" t="s">
        <v>176</v>
      </c>
      <c r="G19" s="11">
        <v>330500</v>
      </c>
      <c r="H19" s="11">
        <v>300000</v>
      </c>
      <c r="I19" s="12">
        <f t="shared" si="0"/>
        <v>1.10166666666667</v>
      </c>
      <c r="J19" s="11">
        <f t="shared" si="1"/>
        <v>0</v>
      </c>
      <c r="K19" s="21">
        <v>46162</v>
      </c>
      <c r="L19" s="21">
        <v>46162</v>
      </c>
      <c r="M19" s="7" t="s">
        <v>111</v>
      </c>
      <c r="N19" s="18" t="str">
        <f>IF($F19="","",IF(AND($F19="在用",$I19&lt;&gt;""),IF($I19&gt;=1,"超寿命待研磨",IF($I19&gt;=基础配置!$B$4,"寿命预警",$F19)),$F19))</f>
        <v>已报废</v>
      </c>
    </row>
    <row r="20" ht="16.5" spans="1:14">
      <c r="A20" t="s">
        <v>177</v>
      </c>
      <c r="B20" s="22" t="s">
        <v>130</v>
      </c>
      <c r="C20" t="s">
        <v>64</v>
      </c>
      <c r="D20" s="18" t="str">
        <f>IF($C20="","",IFERROR(VLOOKUP($C20,设备状态!$A:$C,3,0),""))</f>
        <v>一号冲压车间</v>
      </c>
      <c r="E20" s="23" t="s">
        <v>178</v>
      </c>
      <c r="F20" s="7" t="s">
        <v>145</v>
      </c>
      <c r="G20">
        <v>10000</v>
      </c>
      <c r="H20">
        <v>20000</v>
      </c>
      <c r="I20" s="12">
        <f>IF(OR($G20="",$H20="",$H20=0),"",$G20/$H20)</f>
        <v>0.5</v>
      </c>
      <c r="J20" s="11">
        <f>IF(OR($G20="",$H20=""),"",MAX($H20-$G20,0))</f>
        <v>10000</v>
      </c>
      <c r="K20" s="21">
        <v>46163</v>
      </c>
      <c r="L20" s="21">
        <v>46163</v>
      </c>
      <c r="M20" s="7" t="s">
        <v>111</v>
      </c>
      <c r="N20" s="18" t="str">
        <f>IF($F20="","",IF(AND($F20="在用",$I20&lt;&gt;""),IF($I20&gt;=1,"超寿命待研磨",IF($I20&gt;=基础配置!$B$4,"寿命预警",$F20)),$F20))</f>
        <v>待用</v>
      </c>
    </row>
    <row r="21" spans="1:14">
      <c r="F21" s="7"/>
    </row>
    <row r="22" spans="1:14">
      <c r="F22" s="7"/>
    </row>
    <row r="23" spans="1:14">
      <c r="F23" s="7"/>
    </row>
    <row r="24" spans="1:14">
      <c r="F24" s="7"/>
    </row>
    <row r="25" spans="1:14">
      <c r="F25" s="7"/>
    </row>
  </sheetData>
  <autoFilter xmlns:etc="http://www.wps.cn/officeDocument/2017/etCustomData" ref="A1:N19" etc:filterBottomFollowUsedRange="0">
    <extLst/>
  </autoFilter>
  <conditionalFormatting sqref="F2:F25">
    <cfRule type="cellIs" dxfId="0" priority="2" operator="equal">
      <formula>"在用"</formula>
    </cfRule>
    <cfRule type="cellIs" dxfId="2" priority="3" operator="equal">
      <formula>"待用"</formula>
    </cfRule>
    <cfRule type="cellIs" dxfId="4" priority="4" operator="equal">
      <formula>"研磨中"</formula>
    </cfRule>
    <cfRule type="cellIs" dxfId="3" priority="5" operator="equal">
      <formula>"维修复用"</formula>
    </cfRule>
    <cfRule type="cellIs" dxfId="2" priority="6" operator="equal">
      <formula>"已报废"</formula>
    </cfRule>
  </conditionalFormatting>
  <conditionalFormatting sqref="I2:I20">
    <cfRule type="cellIs" dxfId="1" priority="7" operator="greaterThanOrEqual">
      <formula>0.9</formula>
    </cfRule>
    <cfRule type="cellIs" dxfId="4" priority="8" operator="greaterThanOrEqual">
      <formula>0.75</formula>
    </cfRule>
  </conditionalFormatting>
  <conditionalFormatting sqref="N2:N20">
    <cfRule type="cellIs" dxfId="4" priority="9" operator="equal">
      <formula>"寿命预警"</formula>
    </cfRule>
    <cfRule type="cellIs" dxfId="1" priority="10" operator="equal">
      <formula>"超寿命待研磨"</formula>
    </cfRule>
  </conditionalFormatting>
  <dataValidations count="1">
    <dataValidation type="list" allowBlank="1" sqref="F2:F18 F19:F25">
      <formula1>"在用,待用,研磨中,维修复用,已报废"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K19" sqref="K19"/>
    </sheetView>
  </sheetViews>
  <sheetFormatPr defaultColWidth="8.6" defaultRowHeight="15"/>
  <cols>
    <col min="1" max="1" width="17" customWidth="1"/>
    <col min="2" max="2" width="10" customWidth="1"/>
    <col min="3" max="3" width="14" customWidth="1"/>
    <col min="4" max="4" width="10" customWidth="1"/>
    <col min="5" max="5" width="17" customWidth="1"/>
    <col min="6" max="6" width="14" customWidth="1"/>
    <col min="7" max="7" width="12" customWidth="1"/>
    <col min="8" max="8" width="9" customWidth="1"/>
    <col min="9" max="9" width="10" customWidth="1"/>
  </cols>
  <sheetData>
    <row r="1" ht="25.5" customHeight="1" spans="1:9">
      <c r="A1" s="6" t="s">
        <v>179</v>
      </c>
      <c r="B1" s="6" t="s">
        <v>19</v>
      </c>
      <c r="C1" s="6" t="s">
        <v>21</v>
      </c>
      <c r="D1" s="6" t="s">
        <v>180</v>
      </c>
      <c r="E1" s="6" t="s">
        <v>181</v>
      </c>
      <c r="F1" s="6" t="s">
        <v>182</v>
      </c>
      <c r="G1" s="6" t="s">
        <v>183</v>
      </c>
      <c r="H1" s="6" t="s">
        <v>184</v>
      </c>
      <c r="I1" s="6" t="s">
        <v>185</v>
      </c>
    </row>
    <row r="2" ht="16.5" spans="1:9">
      <c r="A2" s="17">
        <v>46295.3854166667</v>
      </c>
      <c r="B2" s="8" t="s">
        <v>36</v>
      </c>
      <c r="C2" s="18" t="str">
        <f>IF($B2="","",IFERROR(VLOOKUP($B2,设备状态!$A:$C,3,0),""))</f>
        <v>一号冲压车间</v>
      </c>
      <c r="D2" s="7" t="s">
        <v>186</v>
      </c>
      <c r="E2" s="2" t="s">
        <v>187</v>
      </c>
      <c r="F2" s="11">
        <v>185</v>
      </c>
      <c r="G2" s="11">
        <v>550</v>
      </c>
      <c r="H2" s="18" t="s">
        <v>87</v>
      </c>
      <c r="I2" s="7" t="s">
        <v>188</v>
      </c>
    </row>
    <row r="3" ht="16.5" spans="1:9">
      <c r="A3" s="17">
        <v>46295.4444444445</v>
      </c>
      <c r="B3" s="8" t="s">
        <v>36</v>
      </c>
      <c r="C3" s="18" t="str">
        <f>IF($B3="","",IFERROR(VLOOKUP($B3,设备状态!$A:$C,3,0),""))</f>
        <v>一号冲压车间</v>
      </c>
      <c r="D3" s="7" t="s">
        <v>186</v>
      </c>
      <c r="E3" s="2" t="s">
        <v>187</v>
      </c>
      <c r="F3" s="11">
        <v>225</v>
      </c>
      <c r="G3" s="11">
        <v>670</v>
      </c>
      <c r="H3" s="18" t="s">
        <v>87</v>
      </c>
      <c r="I3" s="7" t="s">
        <v>188</v>
      </c>
    </row>
    <row r="4" ht="16.5" spans="1:9">
      <c r="A4" s="17">
        <v>46295.3472222222</v>
      </c>
      <c r="B4" s="8" t="s">
        <v>61</v>
      </c>
      <c r="C4" s="18" t="str">
        <f>IF($B4="","",IFERROR(VLOOKUP($B4,设备状态!$A:$C,3,0),""))</f>
        <v>三号焊接车间</v>
      </c>
      <c r="D4" s="7" t="s">
        <v>186</v>
      </c>
      <c r="E4" s="2" t="s">
        <v>189</v>
      </c>
      <c r="F4" s="11">
        <v>480</v>
      </c>
      <c r="G4" s="11">
        <v>1280</v>
      </c>
      <c r="H4" s="18" t="s">
        <v>115</v>
      </c>
      <c r="I4" s="7" t="s">
        <v>188</v>
      </c>
    </row>
    <row r="5" ht="16.5" spans="1:9">
      <c r="A5" s="17">
        <v>46295.4618055556</v>
      </c>
      <c r="B5" s="8" t="s">
        <v>45</v>
      </c>
      <c r="C5" s="18" t="str">
        <f>IF($B5="","",IFERROR(VLOOKUP($B5,设备状态!$A:$C,3,0),""))</f>
        <v>二号冲压车间</v>
      </c>
      <c r="D5" s="7" t="s">
        <v>98</v>
      </c>
      <c r="E5" s="2" t="s">
        <v>190</v>
      </c>
      <c r="F5" s="11">
        <v>720</v>
      </c>
      <c r="G5" s="11">
        <v>1800</v>
      </c>
      <c r="H5" s="18" t="s">
        <v>99</v>
      </c>
      <c r="I5" s="7" t="s">
        <v>191</v>
      </c>
    </row>
    <row r="6" ht="16.5" spans="1:9">
      <c r="A6" s="17">
        <v>46295.4097222222</v>
      </c>
      <c r="B6" s="8" t="s">
        <v>50</v>
      </c>
      <c r="C6" s="18" t="str">
        <f>IF($B6="","",IFERROR(VLOOKUP($B6,设备状态!$A:$C,3,0),""))</f>
        <v>二号冲压车间</v>
      </c>
      <c r="D6" s="7" t="s">
        <v>192</v>
      </c>
      <c r="E6" s="2" t="s">
        <v>193</v>
      </c>
      <c r="F6" s="11">
        <v>180</v>
      </c>
      <c r="G6" s="11">
        <v>780</v>
      </c>
      <c r="H6" s="18" t="s">
        <v>104</v>
      </c>
      <c r="I6" s="7" t="s">
        <v>191</v>
      </c>
    </row>
    <row r="7" ht="16.5" spans="1:9">
      <c r="A7" s="17">
        <v>46295.5451388889</v>
      </c>
      <c r="B7" s="8" t="s">
        <v>50</v>
      </c>
      <c r="C7" s="18" t="str">
        <f>IF($B7="","",IFERROR(VLOOKUP($B7,设备状态!$A:$C,3,0),""))</f>
        <v>二号冲压车间</v>
      </c>
      <c r="D7" s="7" t="s">
        <v>194</v>
      </c>
      <c r="E7" s="2" t="s">
        <v>195</v>
      </c>
      <c r="F7" s="11">
        <v>145</v>
      </c>
      <c r="G7" s="11">
        <v>620</v>
      </c>
      <c r="H7" s="18" t="s">
        <v>104</v>
      </c>
      <c r="I7" s="7" t="s">
        <v>191</v>
      </c>
    </row>
    <row r="8" ht="16.5" spans="1:9">
      <c r="A8" s="17">
        <v>46295.3402777778</v>
      </c>
      <c r="B8" s="8" t="s">
        <v>50</v>
      </c>
      <c r="C8" s="18" t="str">
        <f>IF($B8="","",IFERROR(VLOOKUP($B8,设备状态!$A:$C,3,0),""))</f>
        <v>二号冲压车间</v>
      </c>
      <c r="D8" s="7" t="s">
        <v>192</v>
      </c>
      <c r="E8" s="2" t="s">
        <v>196</v>
      </c>
      <c r="F8" s="11">
        <v>300</v>
      </c>
      <c r="G8" s="11">
        <v>1300</v>
      </c>
      <c r="H8" s="18" t="s">
        <v>104</v>
      </c>
      <c r="I8" s="7" t="s">
        <v>191</v>
      </c>
    </row>
    <row r="9" ht="16.5" spans="1:9">
      <c r="A9" s="17">
        <v>46295.4305555556</v>
      </c>
      <c r="B9" s="8" t="s">
        <v>33</v>
      </c>
      <c r="C9" s="18" t="str">
        <f>IF($B9="","",IFERROR(VLOOKUP($B9,设备状态!$A:$C,3,0),""))</f>
        <v>一号冲压车间</v>
      </c>
      <c r="D9" s="7" t="s">
        <v>194</v>
      </c>
      <c r="E9" s="2" t="s">
        <v>194</v>
      </c>
      <c r="F9" s="11">
        <v>300</v>
      </c>
      <c r="G9" s="11">
        <v>1200</v>
      </c>
      <c r="H9" s="18" t="s">
        <v>84</v>
      </c>
      <c r="I9" s="7" t="s">
        <v>191</v>
      </c>
    </row>
    <row r="10" ht="16.5" spans="1:9">
      <c r="A10" s="17">
        <v>46295.3576388889</v>
      </c>
      <c r="B10" s="8" t="s">
        <v>29</v>
      </c>
      <c r="C10" s="18" t="str">
        <f>IF($B10="","",IFERROR(VLOOKUP($B10,设备状态!$A:$C,3,0),""))</f>
        <v>一号冲压车间</v>
      </c>
      <c r="D10" s="7" t="s">
        <v>197</v>
      </c>
      <c r="E10" s="2" t="s">
        <v>198</v>
      </c>
      <c r="F10" s="11">
        <v>65</v>
      </c>
      <c r="G10" s="11">
        <v>280</v>
      </c>
      <c r="H10" s="18" t="s">
        <v>79</v>
      </c>
      <c r="I10" s="7" t="s">
        <v>191</v>
      </c>
    </row>
    <row r="11" ht="16.5" spans="1:9">
      <c r="A11" s="17">
        <v>46295.5069444445</v>
      </c>
      <c r="B11" s="8" t="s">
        <v>31</v>
      </c>
      <c r="C11" s="18" t="str">
        <f>IF($B11="","",IFERROR(VLOOKUP($B11,设备状态!$A:$C,3,0),""))</f>
        <v>一号冲压车间</v>
      </c>
      <c r="D11" s="7" t="s">
        <v>186</v>
      </c>
      <c r="E11" s="2" t="s">
        <v>199</v>
      </c>
      <c r="F11" s="11">
        <v>30</v>
      </c>
      <c r="G11" s="11">
        <v>155</v>
      </c>
      <c r="H11" s="18" t="s">
        <v>81</v>
      </c>
      <c r="I11" s="7" t="s">
        <v>191</v>
      </c>
    </row>
    <row r="12" ht="16.5" spans="1:9">
      <c r="A12" s="17">
        <v>46295.4201388889</v>
      </c>
      <c r="B12" s="8" t="s">
        <v>39</v>
      </c>
      <c r="C12" s="18" t="str">
        <f>IF($B12="","",IFERROR(VLOOKUP($B12,设备状态!$A:$C,3,0),""))</f>
        <v>一号冲压车间</v>
      </c>
      <c r="D12" s="7" t="s">
        <v>194</v>
      </c>
      <c r="E12" s="2" t="s">
        <v>200</v>
      </c>
      <c r="F12" s="11">
        <v>55</v>
      </c>
      <c r="G12" s="11">
        <v>165</v>
      </c>
      <c r="H12" s="18" t="s">
        <v>90</v>
      </c>
      <c r="I12" s="7" t="s">
        <v>191</v>
      </c>
    </row>
    <row r="13" ht="16.5" spans="1:9">
      <c r="A13" s="17">
        <v>46295.4791666667</v>
      </c>
      <c r="B13" s="8" t="s">
        <v>41</v>
      </c>
      <c r="C13" s="18" t="str">
        <f>IF($B13="","",IFERROR(VLOOKUP($B13,设备状态!$A:$C,3,0),""))</f>
        <v>二号冲压车间</v>
      </c>
      <c r="D13" s="7" t="s">
        <v>186</v>
      </c>
      <c r="E13" s="2" t="s">
        <v>201</v>
      </c>
      <c r="F13" s="11">
        <v>20</v>
      </c>
      <c r="G13" s="11">
        <v>165</v>
      </c>
      <c r="H13" s="18" t="s">
        <v>94</v>
      </c>
      <c r="I13" s="7" t="s">
        <v>191</v>
      </c>
    </row>
    <row r="14" ht="16.5" spans="1:9">
      <c r="A14" s="17">
        <v>46295.3888888889</v>
      </c>
      <c r="B14" s="8" t="s">
        <v>43</v>
      </c>
      <c r="C14" s="18" t="str">
        <f>IF($B14="","",IFERROR(VLOOKUP($B14,设备状态!$A:$C,3,0),""))</f>
        <v>二号冲压车间</v>
      </c>
      <c r="D14" s="7" t="s">
        <v>186</v>
      </c>
      <c r="E14" s="2" t="s">
        <v>202</v>
      </c>
      <c r="F14" s="11">
        <v>30</v>
      </c>
      <c r="G14" s="11">
        <v>240</v>
      </c>
      <c r="H14" s="18" t="s">
        <v>96</v>
      </c>
      <c r="I14" s="7" t="s">
        <v>191</v>
      </c>
    </row>
    <row r="15" ht="16.5" spans="1:9">
      <c r="A15" s="17">
        <v>46295.3680555556</v>
      </c>
      <c r="B15" s="8" t="s">
        <v>48</v>
      </c>
      <c r="C15" s="18" t="str">
        <f>IF($B15="","",IFERROR(VLOOKUP($B15,设备状态!$A:$C,3,0),""))</f>
        <v>二号冲压车间</v>
      </c>
      <c r="D15" s="7" t="s">
        <v>186</v>
      </c>
      <c r="E15" s="2" t="s">
        <v>203</v>
      </c>
      <c r="F15" s="11">
        <v>80</v>
      </c>
      <c r="G15" s="11">
        <v>390</v>
      </c>
      <c r="H15" s="18" t="s">
        <v>101</v>
      </c>
      <c r="I15" s="7" t="s">
        <v>191</v>
      </c>
    </row>
    <row r="16" ht="16.5" spans="1:9">
      <c r="A16" s="17">
        <v>46295.5486111111</v>
      </c>
      <c r="B16" s="8" t="s">
        <v>53</v>
      </c>
      <c r="C16" s="18" t="str">
        <f>IF($B16="","",IFERROR(VLOOKUP($B16,设备状态!$A:$C,3,0),""))</f>
        <v>三号焊接车间</v>
      </c>
      <c r="D16" s="7" t="s">
        <v>186</v>
      </c>
      <c r="E16" s="2" t="s">
        <v>204</v>
      </c>
      <c r="F16" s="11">
        <v>55</v>
      </c>
      <c r="G16" s="11">
        <v>135</v>
      </c>
      <c r="H16" s="18" t="s">
        <v>107</v>
      </c>
      <c r="I16" s="7" t="s">
        <v>191</v>
      </c>
    </row>
    <row r="17" ht="16.5" spans="1:9">
      <c r="A17" s="17">
        <v>46295.4895833333</v>
      </c>
      <c r="B17" s="8" t="s">
        <v>55</v>
      </c>
      <c r="C17" s="18" t="str">
        <f>IF($B17="","",IFERROR(VLOOKUP($B17,设备状态!$A:$C,3,0),""))</f>
        <v>三号焊接车间</v>
      </c>
      <c r="D17" s="7" t="s">
        <v>186</v>
      </c>
      <c r="E17" s="2" t="s">
        <v>205</v>
      </c>
      <c r="F17" s="11">
        <v>45</v>
      </c>
      <c r="G17" s="11">
        <v>145</v>
      </c>
      <c r="H17" s="18" t="s">
        <v>109</v>
      </c>
      <c r="I17" s="7" t="s">
        <v>191</v>
      </c>
    </row>
    <row r="18" ht="16.5" spans="1:9">
      <c r="A18" s="17">
        <v>46295.4270833333</v>
      </c>
      <c r="B18" s="8" t="s">
        <v>57</v>
      </c>
      <c r="C18" s="18" t="str">
        <f>IF($B18="","",IFERROR(VLOOKUP($B18,设备状态!$A:$C,3,0),""))</f>
        <v>三号焊接车间</v>
      </c>
      <c r="D18" s="7" t="s">
        <v>194</v>
      </c>
      <c r="E18" s="2" t="s">
        <v>194</v>
      </c>
      <c r="F18" s="11">
        <v>60</v>
      </c>
      <c r="G18" s="11">
        <v>260</v>
      </c>
      <c r="H18" s="18" t="s">
        <v>111</v>
      </c>
      <c r="I18" s="7" t="s">
        <v>191</v>
      </c>
    </row>
    <row r="19" ht="16.5" spans="1:9">
      <c r="A19" s="17">
        <v>46295.3541666667</v>
      </c>
      <c r="B19" s="8" t="s">
        <v>59</v>
      </c>
      <c r="C19" s="18" t="str">
        <f>IF($B19="","",IFERROR(VLOOKUP($B19,设备状态!$A:$C,3,0),""))</f>
        <v>三号焊接车间</v>
      </c>
      <c r="D19" s="7" t="s">
        <v>192</v>
      </c>
      <c r="E19" s="2" t="s">
        <v>206</v>
      </c>
      <c r="F19" s="11">
        <v>540</v>
      </c>
      <c r="G19" s="11">
        <v>2280</v>
      </c>
      <c r="H19" s="18" t="s">
        <v>113</v>
      </c>
      <c r="I19" s="7" t="s">
        <v>191</v>
      </c>
    </row>
    <row r="20" ht="16.5" spans="1:9">
      <c r="A20" s="17">
        <v>46301</v>
      </c>
      <c r="B20" s="19" t="s">
        <v>64</v>
      </c>
      <c r="C20" s="18" t="str">
        <f>IF($B20="","",IFERROR(VLOOKUP($B20,设备状态!$A:$C,3,0),""))</f>
        <v>一号冲压车间</v>
      </c>
      <c r="D20" s="7" t="s">
        <v>194</v>
      </c>
      <c r="E20" s="2" t="s">
        <v>195</v>
      </c>
      <c r="F20" s="11">
        <v>60</v>
      </c>
      <c r="G20" s="11">
        <v>620</v>
      </c>
      <c r="H20" s="18" t="s">
        <v>104</v>
      </c>
      <c r="I20" s="7" t="s">
        <v>191</v>
      </c>
    </row>
  </sheetData>
  <autoFilter xmlns:etc="http://www.wps.cn/officeDocument/2017/etCustomData" ref="A1:I19" etc:filterBottomFollowUsedRange="0">
    <extLst/>
  </autoFilter>
  <conditionalFormatting sqref="F20">
    <cfRule type="cellIs" dxfId="7" priority="3" operator="greaterThanOrEqual">
      <formula>300</formula>
    </cfRule>
  </conditionalFormatting>
  <conditionalFormatting sqref="I20">
    <cfRule type="cellIs" dxfId="0" priority="2" operator="equal">
      <formula>"已闭环"</formula>
    </cfRule>
    <cfRule type="cellIs" dxfId="1" priority="1" operator="equal">
      <formula>"维修中"</formula>
    </cfRule>
  </conditionalFormatting>
  <conditionalFormatting sqref="F2:F19">
    <cfRule type="cellIs" dxfId="7" priority="7" operator="greaterThanOrEqual">
      <formula>300</formula>
    </cfRule>
  </conditionalFormatting>
  <conditionalFormatting sqref="I2:I19">
    <cfRule type="cellIs" dxfId="1" priority="5" operator="equal">
      <formula>"维修中"</formula>
    </cfRule>
    <cfRule type="cellIs" dxfId="0" priority="6" operator="equal">
      <formula>"已闭环"</formula>
    </cfRule>
  </conditionalFormatting>
  <dataValidations count="2">
    <dataValidation type="list" allowBlank="1" sqref="D20 D2:D19">
      <formula1>"设备故障,计划保养,换模调机,待料,其他"</formula1>
    </dataValidation>
    <dataValidation type="list" allowBlank="1" sqref="I20 I2:I19">
      <formula1>"维修中,已闭环"</formula1>
    </dataValidation>
  </dataValidations>
  <pageMargins left="0.75" right="0.75" top="1" bottom="1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O18" sqref="O18"/>
    </sheetView>
  </sheetViews>
  <sheetFormatPr defaultColWidth="8.6" defaultRowHeight="15"/>
  <cols>
    <col min="1" max="1" width="14" customWidth="1"/>
    <col min="2" max="2" width="9" customWidth="1"/>
    <col min="3" max="5" width="8" customWidth="1"/>
    <col min="6" max="7" width="10" customWidth="1"/>
    <col min="8" max="8" width="9" customWidth="1"/>
    <col min="9" max="10" width="13" customWidth="1"/>
    <col min="11" max="12" width="9" customWidth="1"/>
  </cols>
  <sheetData>
    <row r="1" ht="30" customHeight="1" spans="1:12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6" t="s">
        <v>9</v>
      </c>
      <c r="B2" s="9" t="s">
        <v>10</v>
      </c>
      <c r="C2" s="9" t="s">
        <v>11</v>
      </c>
      <c r="D2" s="9" t="s">
        <v>103</v>
      </c>
      <c r="E2" s="9" t="s">
        <v>83</v>
      </c>
      <c r="F2" s="9" t="s">
        <v>12</v>
      </c>
      <c r="G2" s="9" t="s">
        <v>98</v>
      </c>
      <c r="H2" s="10" t="s">
        <v>13</v>
      </c>
      <c r="I2" s="9" t="s">
        <v>14</v>
      </c>
      <c r="J2" s="9" t="s">
        <v>24</v>
      </c>
      <c r="K2" s="10" t="s">
        <v>15</v>
      </c>
      <c r="L2" s="10" t="s">
        <v>208</v>
      </c>
    </row>
    <row r="3" ht="16.5" spans="1:12">
      <c r="A3" s="7" t="s">
        <v>77</v>
      </c>
      <c r="B3" s="11">
        <f>COUNTIF(设备状态!$C:$C,$A3)</f>
        <v>6</v>
      </c>
      <c r="C3" s="11">
        <f>COUNTIFS(设备状态!$C:$C,$A3,设备状态!$F:$F,C$2)</f>
        <v>3</v>
      </c>
      <c r="D3" s="11">
        <f>COUNTIFS(设备状态!$C:$C,$A3,设备状态!$F:$F,D$2)</f>
        <v>0</v>
      </c>
      <c r="E3" s="11">
        <f>COUNTIFS(设备状态!$C:$C,$A3,设备状态!$F:$F,E$2)</f>
        <v>2</v>
      </c>
      <c r="F3" s="11">
        <f>COUNTIFS(设备状态!$C:$C,$A3,设备状态!$F:$F,F$2)</f>
        <v>1</v>
      </c>
      <c r="G3" s="11">
        <f>COUNTIFS(设备状态!$C:$C,$A3,设备状态!$F:$F,G$2)</f>
        <v>0</v>
      </c>
      <c r="H3" s="12">
        <f>IF(OR($B3="",$B3=0),"",$C3/$B3)</f>
        <v>0.5</v>
      </c>
      <c r="I3" s="11">
        <f>SUMIF(设备状态!$C:$C,$A3,设备状态!$I:$I)</f>
        <v>11120</v>
      </c>
      <c r="J3" s="11">
        <f>SUMIF(设备状态!$C:$C,$A3,设备状态!$K:$K)</f>
        <v>13600</v>
      </c>
      <c r="K3" s="12">
        <f>IF(OR($J3="",$J3=0),"",$I3/$J3)</f>
        <v>0.817647058823529</v>
      </c>
      <c r="L3" s="12">
        <f>IF($B3=0,"",SUMIF(设备状态!$C:$C,$A3,设备状态!$P:$P)/COUNTIFS(设备状态!$C:$C,$A3,设备状态!$P:$P,"&gt;0"))</f>
        <v>0.747151982463196</v>
      </c>
    </row>
    <row r="4" ht="16.5" spans="1:12">
      <c r="A4" s="7" t="s">
        <v>92</v>
      </c>
      <c r="B4" s="11">
        <f>COUNTIF(设备状态!$C:$C,$A4)</f>
        <v>5</v>
      </c>
      <c r="C4" s="11">
        <f>COUNTIFS(设备状态!$C:$C,$A4,设备状态!$F:$F,C$2)</f>
        <v>3</v>
      </c>
      <c r="D4" s="11">
        <f>COUNTIFS(设备状态!$C:$C,$A4,设备状态!$F:$F,D$2)</f>
        <v>1</v>
      </c>
      <c r="E4" s="11">
        <f>COUNTIFS(设备状态!$C:$C,$A4,设备状态!$F:$F,E$2)</f>
        <v>0</v>
      </c>
      <c r="F4" s="11">
        <f>COUNTIFS(设备状态!$C:$C,$A4,设备状态!$F:$F,F$2)</f>
        <v>0</v>
      </c>
      <c r="G4" s="11">
        <f>COUNTIFS(设备状态!$C:$C,$A4,设备状态!$F:$F,G$2)</f>
        <v>1</v>
      </c>
      <c r="H4" s="12">
        <f>IF(OR($B4="",$B4=0),"",$C4/$B4)</f>
        <v>0.6</v>
      </c>
      <c r="I4" s="11">
        <f>SUMIF(设备状态!$C:$C,$A4,设备状态!$I:$I)</f>
        <v>14810</v>
      </c>
      <c r="J4" s="11">
        <f>SUMIF(设备状态!$C:$C,$A4,设备状态!$K:$K)</f>
        <v>18600</v>
      </c>
      <c r="K4" s="12">
        <f>IF(OR($J4="",$J4=0),"",$I4/$J4)</f>
        <v>0.796236559139785</v>
      </c>
      <c r="L4" s="12">
        <f>IF($B4=0,"",SUMIF(设备状态!$C:$C,$A4,设备状态!$P:$P)/COUNTIFS(设备状态!$C:$C,$A4,设备状态!$P:$P,"&gt;0"))</f>
        <v>0.729549168928839</v>
      </c>
    </row>
    <row r="5" ht="16.5" spans="1:12">
      <c r="A5" s="7" t="s">
        <v>106</v>
      </c>
      <c r="B5" s="11">
        <f>COUNTIF(设备状态!$C:$C,$A5)</f>
        <v>5</v>
      </c>
      <c r="C5" s="11">
        <f>COUNTIFS(设备状态!$C:$C,$A5,设备状态!$F:$F,C$2)</f>
        <v>3</v>
      </c>
      <c r="D5" s="11">
        <f>COUNTIFS(设备状态!$C:$C,$A5,设备状态!$F:$F,D$2)</f>
        <v>1</v>
      </c>
      <c r="E5" s="11">
        <f>COUNTIFS(设备状态!$C:$C,$A5,设备状态!$F:$F,E$2)</f>
        <v>0</v>
      </c>
      <c r="F5" s="11">
        <f>COUNTIFS(设备状态!$C:$C,$A5,设备状态!$F:$F,F$2)</f>
        <v>1</v>
      </c>
      <c r="G5" s="11">
        <f>COUNTIFS(设备状态!$C:$C,$A5,设备状态!$F:$F,G$2)</f>
        <v>0</v>
      </c>
      <c r="H5" s="12">
        <f>IF(OR($B5="",$B5=0),"",$C5/$B5)</f>
        <v>0.6</v>
      </c>
      <c r="I5" s="11">
        <f>SUMIF(设备状态!$C:$C,$A5,设备状态!$I:$I)</f>
        <v>8040</v>
      </c>
      <c r="J5" s="11">
        <f>SUMIF(设备状态!$C:$C,$A5,设备状态!$K:$K)</f>
        <v>10800</v>
      </c>
      <c r="K5" s="12">
        <f>IF(OR($J5="",$J5=0),"",$I5/$J5)</f>
        <v>0.744444444444444</v>
      </c>
      <c r="L5" s="12">
        <f>IF($B5=0,"",SUMIF(设备状态!$C:$C,$A5,设备状态!$P:$P)/COUNTIFS(设备状态!$C:$C,$A5,设备状态!$P:$P,"&gt;0"))</f>
        <v>0.663539630746476</v>
      </c>
    </row>
    <row r="6" ht="16.5" spans="1:12">
      <c r="A6" s="13" t="s">
        <v>16</v>
      </c>
      <c r="B6" s="14">
        <f t="shared" ref="B6:G6" si="0">SUM(B3:B5)</f>
        <v>16</v>
      </c>
      <c r="C6" s="14">
        <f t="shared" si="0"/>
        <v>9</v>
      </c>
      <c r="D6" s="14">
        <f t="shared" si="0"/>
        <v>2</v>
      </c>
      <c r="E6" s="14">
        <f t="shared" si="0"/>
        <v>2</v>
      </c>
      <c r="F6" s="14">
        <f t="shared" si="0"/>
        <v>2</v>
      </c>
      <c r="G6" s="14">
        <f t="shared" si="0"/>
        <v>1</v>
      </c>
      <c r="H6" s="15">
        <f>IF($B6=0,"",$C6/$B6)</f>
        <v>0.5625</v>
      </c>
      <c r="I6" s="14">
        <f>SUM(I3:I5)</f>
        <v>33970</v>
      </c>
      <c r="J6" s="14">
        <f>SUM(J3:J5)</f>
        <v>43000</v>
      </c>
      <c r="K6" s="15">
        <f>IF($J6=0,"",$I6/$J6)</f>
        <v>0.79</v>
      </c>
      <c r="L6" s="15">
        <f>IFERROR(SUM(设备状态!$P$2:$P$16)/COUNTIF(设备状态!$P$2:$P$16,"&gt;0"),"")</f>
        <v>0.712261052983122</v>
      </c>
    </row>
    <row r="8" ht="21.75" customHeight="1" spans="1:12">
      <c r="A8" s="16" t="s">
        <v>209</v>
      </c>
      <c r="B8" s="16"/>
      <c r="C8" s="16"/>
      <c r="D8" s="16"/>
      <c r="E8" s="16"/>
    </row>
    <row r="9" ht="27" customHeight="1" spans="1:12">
      <c r="A9" s="6" t="s">
        <v>121</v>
      </c>
      <c r="B9" s="9" t="s">
        <v>210</v>
      </c>
      <c r="C9" s="10" t="s">
        <v>211</v>
      </c>
      <c r="D9" s="10" t="s">
        <v>212</v>
      </c>
      <c r="E9" s="9" t="s">
        <v>213</v>
      </c>
    </row>
    <row r="10" ht="16.5" spans="1:12">
      <c r="A10" s="7" t="s">
        <v>132</v>
      </c>
      <c r="B10" s="11">
        <f>COUNTIF(模具状态!$F:$F,$A10)</f>
        <v>12</v>
      </c>
      <c r="C10" s="12">
        <f>IF(OR($B$15="",$B$15=0),"",$B10/$B$15)</f>
        <v>0.631578947368421</v>
      </c>
      <c r="D10" s="12">
        <f>IF($B10=0,"",SUMIFS(模具状态!$I:$I,模具状态!$F:$F,$A10,模具状态!$I:$I,"&gt;0")/COUNTIFS(模具状态!$F:$F,$A10,模具状态!$I:$I,"&gt;0"))</f>
        <v>0.725776388888889</v>
      </c>
      <c r="E10" s="11">
        <f>IF($A10&lt;&gt;"在用","",COUNTIFS(模具状态!$N:$N,"寿命预警")+COUNTIFS(模具状态!$N:$N,"超寿命待研磨"))</f>
        <v>5</v>
      </c>
    </row>
    <row r="11" ht="16.5" spans="1:12">
      <c r="A11" s="7" t="s">
        <v>145</v>
      </c>
      <c r="B11" s="11">
        <f>COUNTIF(模具状态!$F:$F,$A11)</f>
        <v>4</v>
      </c>
      <c r="C11" s="12">
        <f>IF(OR($B$15="",$B$15=0),"",$B11/$B$15)</f>
        <v>0.210526315789474</v>
      </c>
      <c r="D11" s="12">
        <f>IF($B11=0,"",SUMIFS(模具状态!$I:$I,模具状态!$F:$F,$A11,模具状态!$I:$I,"&gt;0")/COUNTIFS(模具状态!$F:$F,$A11,模具状态!$I:$I,"&gt;0"))</f>
        <v>0.45925</v>
      </c>
      <c r="E11" s="11" t="str">
        <f>IF($A11&lt;&gt;"在用","",COUNTIFS(模具状态!$N:$N,"寿命预警")+COUNTIFS(模具状态!$N:$N,"超寿命待研磨"))</f>
        <v/>
      </c>
    </row>
    <row r="12" ht="16.5" spans="1:12">
      <c r="A12" s="7" t="s">
        <v>158</v>
      </c>
      <c r="B12" s="11">
        <f>COUNTIF(模具状态!$F:$F,$A12)</f>
        <v>1</v>
      </c>
      <c r="C12" s="12">
        <f>IF(OR($B$15="",$B$15=0),"",$B12/$B$15)</f>
        <v>0.0526315789473684</v>
      </c>
      <c r="D12" s="12">
        <f>IF($B12=0,"",SUMIFS(模具状态!$I:$I,模具状态!$F:$F,$A12,模具状态!$I:$I,"&gt;0")/COUNTIFS(模具状态!$F:$F,$A12,模具状态!$I:$I,"&gt;0"))</f>
        <v>0.662222222222222</v>
      </c>
      <c r="E12" s="11" t="str">
        <f>IF($A12&lt;&gt;"在用","",COUNTIFS(模具状态!$N:$N,"寿命预警")+COUNTIFS(模具状态!$N:$N,"超寿命待研磨"))</f>
        <v/>
      </c>
    </row>
    <row r="13" ht="16.5" spans="1:12">
      <c r="A13" s="7" t="s">
        <v>161</v>
      </c>
      <c r="B13" s="11">
        <f>COUNTIF(模具状态!$F:$F,$A13)</f>
        <v>1</v>
      </c>
      <c r="C13" s="12">
        <f>IF(OR($B$15="",$B$15=0),"",$B13/$B$15)</f>
        <v>0.0526315789473684</v>
      </c>
      <c r="D13" s="12">
        <f>IF($B13=0,"",SUMIFS(模具状态!$I:$I,模具状态!$F:$F,$A13,模具状态!$I:$I,"&gt;0")/COUNTIFS(模具状态!$F:$F,$A13,模具状态!$I:$I,"&gt;0"))</f>
        <v>0.608666666666667</v>
      </c>
      <c r="E13" s="11" t="str">
        <f>IF($A13&lt;&gt;"在用","",COUNTIFS(模具状态!$N:$N,"寿命预警")+COUNTIFS(模具状态!$N:$N,"超寿命待研磨"))</f>
        <v/>
      </c>
    </row>
    <row r="14" ht="16.5" spans="1:12">
      <c r="A14" s="7" t="s">
        <v>176</v>
      </c>
      <c r="B14" s="11">
        <f>COUNTIF(模具状态!$F:$F,$A14)</f>
        <v>1</v>
      </c>
      <c r="C14" s="12">
        <f>IF(OR($B$15="",$B$15=0),"",$B14/$B$15)</f>
        <v>0.0526315789473684</v>
      </c>
      <c r="D14" s="12">
        <f>IF($B14=0,"",SUMIFS(模具状态!$I:$I,模具状态!$F:$F,$A14,模具状态!$I:$I,"&gt;0")/COUNTIFS(模具状态!$F:$F,$A14,模具状态!$I:$I,"&gt;0"))</f>
        <v>1.10166666666667</v>
      </c>
      <c r="E14" s="11" t="str">
        <f>IF($A14&lt;&gt;"在用","",COUNTIFS(模具状态!$N:$N,"寿命预警")+COUNTIFS(模具状态!$N:$N,"超寿命待研磨"))</f>
        <v/>
      </c>
    </row>
    <row r="15" ht="16.5" spans="1:12">
      <c r="A15" s="13" t="s">
        <v>16</v>
      </c>
      <c r="B15" s="14">
        <f>SUM(B10:B14)</f>
        <v>19</v>
      </c>
      <c r="C15" s="15">
        <f>IF(OR($B$15="",$B$15=0),"",$B$15/$B$15)</f>
        <v>1</v>
      </c>
      <c r="D15" s="15">
        <f>IFERROR(SUM(模具状态!$I$2:$I$19)/COUNTIF(模具状态!$I$2:$I$19,"&gt;0"),"")</f>
        <v>0.689937345679012</v>
      </c>
      <c r="E15" s="14">
        <f>SUM(E10:E14)</f>
        <v>5</v>
      </c>
    </row>
    <row r="17" ht="21.75" customHeight="1" spans="1:5">
      <c r="A17" s="16" t="s">
        <v>214</v>
      </c>
      <c r="B17" s="16"/>
      <c r="C17" s="16"/>
      <c r="D17" s="16"/>
      <c r="E17" s="16"/>
    </row>
    <row r="18" ht="33" customHeight="1" spans="1:5">
      <c r="A18" s="6" t="s">
        <v>180</v>
      </c>
      <c r="B18" s="9" t="s">
        <v>215</v>
      </c>
      <c r="C18" s="9" t="s">
        <v>216</v>
      </c>
      <c r="D18" s="9" t="s">
        <v>183</v>
      </c>
      <c r="E18" s="10" t="s">
        <v>217</v>
      </c>
    </row>
    <row r="19" ht="16.5" spans="1:5">
      <c r="A19" s="7" t="s">
        <v>186</v>
      </c>
      <c r="B19" s="11">
        <f>COUNTIF(停机记录!$D:$D,$A19)</f>
        <v>9</v>
      </c>
      <c r="C19" s="11">
        <f>SUMIF(停机记录!$D:$D,$A19,停机记录!$F:$F)</f>
        <v>1150</v>
      </c>
      <c r="D19" s="11">
        <f>SUMIF(停机记录!$D:$D,$A19,停机记录!$G:$G)</f>
        <v>3730</v>
      </c>
      <c r="E19" s="12">
        <f>IF(OR($C$24="",$C$24=0),"",$C19/$C$24)</f>
        <v>0.321678321678322</v>
      </c>
    </row>
    <row r="20" ht="16.5" spans="1:5">
      <c r="A20" s="7" t="s">
        <v>98</v>
      </c>
      <c r="B20" s="11">
        <f>COUNTIF(停机记录!$D:$D,$A20)</f>
        <v>1</v>
      </c>
      <c r="C20" s="11">
        <f>SUMIF(停机记录!$D:$D,$A20,停机记录!$F:$F)</f>
        <v>720</v>
      </c>
      <c r="D20" s="11">
        <f>SUMIF(停机记录!$D:$D,$A20,停机记录!$G:$G)</f>
        <v>1800</v>
      </c>
      <c r="E20" s="12">
        <f>IF(OR($C$24="",$C$24=0),"",$C20/$C$24)</f>
        <v>0.201398601398601</v>
      </c>
    </row>
    <row r="21" ht="16.5" spans="1:5">
      <c r="A21" s="7" t="s">
        <v>194</v>
      </c>
      <c r="B21" s="11">
        <f>COUNTIF(停机记录!$D:$D,$A21)</f>
        <v>5</v>
      </c>
      <c r="C21" s="11">
        <f>SUMIF(停机记录!$D:$D,$A21,停机记录!$F:$F)</f>
        <v>620</v>
      </c>
      <c r="D21" s="11">
        <f>SUMIF(停机记录!$D:$D,$A21,停机记录!$G:$G)</f>
        <v>2865</v>
      </c>
      <c r="E21" s="12">
        <f>IF(OR($C$24="",$C$24=0),"",$C21/$C$24)</f>
        <v>0.173426573426573</v>
      </c>
    </row>
    <row r="22" ht="16.5" spans="1:5">
      <c r="A22" s="7" t="s">
        <v>192</v>
      </c>
      <c r="B22" s="11">
        <f>COUNTIF(停机记录!$D:$D,$A22)</f>
        <v>3</v>
      </c>
      <c r="C22" s="11">
        <f>SUMIF(停机记录!$D:$D,$A22,停机记录!$F:$F)</f>
        <v>1020</v>
      </c>
      <c r="D22" s="11">
        <f>SUMIF(停机记录!$D:$D,$A22,停机记录!$G:$G)</f>
        <v>4360</v>
      </c>
      <c r="E22" s="12">
        <f>IF(OR($C$24="",$C$24=0),"",$C22/$C$24)</f>
        <v>0.285314685314685</v>
      </c>
    </row>
    <row r="23" ht="16.5" spans="1:5">
      <c r="A23" s="7" t="s">
        <v>197</v>
      </c>
      <c r="B23" s="11">
        <f>COUNTIF(停机记录!$D:$D,$A23)</f>
        <v>1</v>
      </c>
      <c r="C23" s="11">
        <f>SUMIF(停机记录!$D:$D,$A23,停机记录!$F:$F)</f>
        <v>65</v>
      </c>
      <c r="D23" s="11">
        <f>SUMIF(停机记录!$D:$D,$A23,停机记录!$G:$G)</f>
        <v>280</v>
      </c>
      <c r="E23" s="12">
        <f>IF(OR($C$24="",$C$24=0),"",$C23/$C$24)</f>
        <v>0.0181818181818182</v>
      </c>
    </row>
    <row r="24" ht="16.5" spans="1:5">
      <c r="A24" s="13" t="s">
        <v>16</v>
      </c>
      <c r="B24" s="14">
        <f>SUM(B19:B23)</f>
        <v>19</v>
      </c>
      <c r="C24" s="14">
        <f>SUM(C19:C23)</f>
        <v>3575</v>
      </c>
      <c r="D24" s="14">
        <f>SUM(D19:D23)</f>
        <v>13035</v>
      </c>
      <c r="E24" s="15">
        <f>IF(OR($C$24="",$C$24=0),"",$C$24/$C$24)</f>
        <v>1</v>
      </c>
    </row>
  </sheetData>
  <mergeCells count="3">
    <mergeCell ref="A1:L1"/>
    <mergeCell ref="A8:E8"/>
    <mergeCell ref="A17:E1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10" sqref="E10"/>
    </sheetView>
  </sheetViews>
  <sheetFormatPr defaultColWidth="8.6" defaultRowHeight="15" outlineLevelCol="5"/>
  <cols>
    <col min="1" max="1" width="24" customWidth="1"/>
    <col min="2" max="2" width="10" customWidth="1"/>
    <col min="3" max="3" width="12" customWidth="1"/>
    <col min="4" max="4" width="10" customWidth="1"/>
    <col min="5" max="5" width="16" customWidth="1"/>
    <col min="6" max="6" width="10" customWidth="1"/>
  </cols>
  <sheetData>
    <row r="1" ht="27.75" customHeight="1" spans="1:6">
      <c r="A1" s="1" t="s">
        <v>218</v>
      </c>
      <c r="B1" s="1"/>
      <c r="C1" s="1"/>
      <c r="D1" s="1"/>
      <c r="E1" s="1"/>
      <c r="F1" s="1"/>
    </row>
    <row r="3" ht="16.5" spans="1:6">
      <c r="A3" s="2" t="s">
        <v>219</v>
      </c>
      <c r="B3" s="3">
        <v>720</v>
      </c>
      <c r="C3" s="4" t="s">
        <v>220</v>
      </c>
    </row>
    <row r="4" ht="16.5" spans="1:6">
      <c r="A4" s="2" t="s">
        <v>221</v>
      </c>
      <c r="B4" s="5">
        <v>0.9</v>
      </c>
      <c r="C4" s="4" t="s">
        <v>222</v>
      </c>
    </row>
    <row r="7" ht="21.75" customHeight="1" spans="1:6">
      <c r="A7" s="6" t="s">
        <v>68</v>
      </c>
      <c r="B7" s="6" t="s">
        <v>121</v>
      </c>
      <c r="C7" s="6" t="s">
        <v>223</v>
      </c>
      <c r="D7" s="6" t="s">
        <v>18</v>
      </c>
      <c r="E7" s="6" t="s">
        <v>224</v>
      </c>
      <c r="F7" s="6" t="s">
        <v>185</v>
      </c>
    </row>
    <row r="8" ht="16.5" spans="1:6">
      <c r="A8" s="7" t="s">
        <v>11</v>
      </c>
      <c r="B8" s="7" t="s">
        <v>132</v>
      </c>
      <c r="C8" s="7" t="s">
        <v>186</v>
      </c>
      <c r="D8" s="7" t="s">
        <v>28</v>
      </c>
      <c r="E8" s="8" t="s">
        <v>131</v>
      </c>
      <c r="F8" s="7" t="s">
        <v>188</v>
      </c>
    </row>
    <row r="9" ht="16.5" spans="1:6">
      <c r="A9" s="7" t="s">
        <v>103</v>
      </c>
      <c r="B9" s="7" t="s">
        <v>145</v>
      </c>
      <c r="C9" s="7" t="s">
        <v>98</v>
      </c>
      <c r="D9" s="7" t="s">
        <v>225</v>
      </c>
      <c r="E9" s="8" t="s">
        <v>135</v>
      </c>
      <c r="F9" s="7" t="s">
        <v>191</v>
      </c>
    </row>
    <row r="10" ht="16.5" spans="1:6">
      <c r="A10" s="7" t="s">
        <v>83</v>
      </c>
      <c r="B10" s="7" t="s">
        <v>158</v>
      </c>
      <c r="C10" s="7" t="s">
        <v>194</v>
      </c>
      <c r="E10" s="8" t="s">
        <v>138</v>
      </c>
    </row>
    <row r="11" ht="16.5" spans="1:6">
      <c r="A11" s="7" t="s">
        <v>12</v>
      </c>
      <c r="B11" s="7" t="s">
        <v>161</v>
      </c>
      <c r="C11" s="7" t="s">
        <v>192</v>
      </c>
      <c r="E11" s="8" t="s">
        <v>150</v>
      </c>
    </row>
    <row r="12" ht="16.5" spans="1:6">
      <c r="A12" s="7" t="s">
        <v>98</v>
      </c>
      <c r="B12" s="7" t="s">
        <v>176</v>
      </c>
      <c r="C12" s="7" t="s">
        <v>197</v>
      </c>
      <c r="E12" s="8" t="s">
        <v>153</v>
      </c>
    </row>
    <row r="13" ht="16.5" spans="1:6">
      <c r="E13" s="8" t="s">
        <v>164</v>
      </c>
    </row>
    <row r="14" ht="16.5" spans="1:6">
      <c r="E14" s="8" t="s">
        <v>171</v>
      </c>
    </row>
  </sheetData>
  <mergeCells count="1">
    <mergeCell ref="A1:F1"/>
  </mergeCells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看板</vt:lpstr>
      <vt:lpstr>生产明细</vt:lpstr>
      <vt:lpstr>设备状态</vt:lpstr>
      <vt:lpstr>模具状态</vt:lpstr>
      <vt:lpstr>停机记录</vt:lpstr>
      <vt:lpstr>汇总</vt:lpstr>
      <vt:lpstr>基础配置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泵业冲压车间生产状态综合台账</dc:title>
  <dc:creator>openpyxl</dc:creator>
  <cp:lastModifiedBy>Ray</cp:lastModifiedBy>
  <cp:revision>1</cp:revision>
  <dcterms:created xsi:type="dcterms:W3CDTF">2026-09-30T05:48:00Z</dcterms:created>
  <dcterms:modified xsi:type="dcterms:W3CDTF">2026-10-06T03:06:56Z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{"Label":"1","ContentProducer":"00119111010856365494821B355","ProduceID":"3f0267c583214ed7bc5a2c38bd4ea3a9","ContentPropagator":"00119111010856365494821B355","PropagateID":"3f0267c583214ed7bc5a2c38bd4ea3a9"}</vt:lpwstr>
  </property>
  <property fmtid="{D5CDD505-2E9C-101B-9397-08002B2CF9AE}" pid="3" name="KSOReadingLayout">
    <vt:bool>true</vt:bool>
  </property>
  <property fmtid="{D5CDD505-2E9C-101B-9397-08002B2CF9AE}" pid="4" name="ICV">
    <vt:lpwstr>74856677B760450A9DBFB7EB34CDBFF6_12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